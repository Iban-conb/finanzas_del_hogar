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perez\Downloads\"/>
    </mc:Choice>
  </mc:AlternateContent>
  <xr:revisionPtr revIDLastSave="0" documentId="13_ncr:1_{DCEAF068-B19C-4312-9191-C1EB263A3C6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📊 RESUMEN" sheetId="1" r:id="rId1"/>
    <sheet name="💰 INGRESOS" sheetId="2" r:id="rId2"/>
    <sheet name="📅 RECURRENTES" sheetId="3" r:id="rId3"/>
    <sheet name="🛒 DIARIOS" sheetId="4" r:id="rId4"/>
    <sheet name="👥 USUARIOS" sheetId="5" r:id="rId5"/>
    <sheet name="🏷️ CATEGORIAS" sheetId="6" r:id="rId6"/>
    <sheet name="📆 ANUAL" sheetId="7" r:id="rId7"/>
  </sheets>
  <calcPr calcId="191029"/>
</workbook>
</file>

<file path=xl/calcChain.xml><?xml version="1.0" encoding="utf-8"?>
<calcChain xmlns="http://schemas.openxmlformats.org/spreadsheetml/2006/main">
  <c r="N12" i="7" l="1"/>
  <c r="M12" i="7"/>
  <c r="L12" i="7"/>
  <c r="K12" i="7"/>
  <c r="J12" i="7"/>
  <c r="I12" i="7"/>
  <c r="H12" i="7"/>
  <c r="G12" i="7"/>
  <c r="F12" i="7"/>
  <c r="E12" i="7"/>
  <c r="D12" i="7"/>
  <c r="C12" i="7"/>
  <c r="O12" i="7" s="1"/>
  <c r="N11" i="7"/>
  <c r="N13" i="7" s="1"/>
  <c r="M11" i="7"/>
  <c r="M13" i="7" s="1"/>
  <c r="L11" i="7"/>
  <c r="L13" i="7" s="1"/>
  <c r="K11" i="7"/>
  <c r="K13" i="7" s="1"/>
  <c r="J11" i="7"/>
  <c r="J13" i="7" s="1"/>
  <c r="I11" i="7"/>
  <c r="I13" i="7" s="1"/>
  <c r="H11" i="7"/>
  <c r="H13" i="7" s="1"/>
  <c r="G11" i="7"/>
  <c r="G13" i="7" s="1"/>
  <c r="F11" i="7"/>
  <c r="F13" i="7" s="1"/>
  <c r="E11" i="7"/>
  <c r="E13" i="7" s="1"/>
  <c r="D11" i="7"/>
  <c r="D13" i="7" s="1"/>
  <c r="C11" i="7"/>
  <c r="C13" i="7" s="1"/>
  <c r="N9" i="7"/>
  <c r="N16" i="7" s="1"/>
  <c r="M9" i="7"/>
  <c r="L9" i="7"/>
  <c r="L16" i="7" s="1"/>
  <c r="K9" i="7"/>
  <c r="J9" i="7"/>
  <c r="J16" i="7" s="1"/>
  <c r="I9" i="7"/>
  <c r="I16" i="7" s="1"/>
  <c r="H9" i="7"/>
  <c r="H16" i="7" s="1"/>
  <c r="G9" i="7"/>
  <c r="G16" i="7" s="1"/>
  <c r="F9" i="7"/>
  <c r="F16" i="7" s="1"/>
  <c r="E9" i="7"/>
  <c r="E16" i="7" s="1"/>
  <c r="D9" i="7"/>
  <c r="D15" i="7" s="1"/>
  <c r="C9" i="7"/>
  <c r="C16" i="7" s="1"/>
  <c r="N8" i="7"/>
  <c r="M8" i="7"/>
  <c r="L8" i="7"/>
  <c r="K8" i="7"/>
  <c r="J8" i="7"/>
  <c r="I8" i="7"/>
  <c r="H8" i="7"/>
  <c r="G8" i="7"/>
  <c r="F8" i="7"/>
  <c r="E8" i="7"/>
  <c r="D8" i="7"/>
  <c r="C8" i="7"/>
  <c r="N7" i="7"/>
  <c r="M7" i="7"/>
  <c r="L7" i="7"/>
  <c r="K7" i="7"/>
  <c r="J7" i="7"/>
  <c r="I7" i="7"/>
  <c r="H7" i="7"/>
  <c r="G7" i="7"/>
  <c r="F7" i="7"/>
  <c r="E7" i="7"/>
  <c r="D7" i="7"/>
  <c r="C7" i="7"/>
  <c r="E44" i="3"/>
  <c r="F22" i="1"/>
  <c r="E21" i="1"/>
  <c r="F21" i="1" s="1"/>
  <c r="D21" i="1"/>
  <c r="C21" i="1"/>
  <c r="D20" i="1"/>
  <c r="C20" i="1"/>
  <c r="E20" i="1" s="1"/>
  <c r="F20" i="1" s="1"/>
  <c r="D19" i="1"/>
  <c r="C19" i="1"/>
  <c r="E19" i="1" s="1"/>
  <c r="F19" i="1" s="1"/>
  <c r="E18" i="1"/>
  <c r="F18" i="1" s="1"/>
  <c r="D18" i="1"/>
  <c r="C18" i="1"/>
  <c r="D17" i="1"/>
  <c r="C17" i="1"/>
  <c r="C22" i="1" s="1"/>
  <c r="D16" i="1"/>
  <c r="E16" i="1" s="1"/>
  <c r="F16" i="1" s="1"/>
  <c r="D15" i="1"/>
  <c r="E15" i="1" s="1"/>
  <c r="F15" i="1" s="1"/>
  <c r="D14" i="1"/>
  <c r="E14" i="1" s="1"/>
  <c r="F14" i="1" s="1"/>
  <c r="D13" i="1"/>
  <c r="E13" i="1" s="1"/>
  <c r="J8" i="1"/>
  <c r="H8" i="1"/>
  <c r="D8" i="1"/>
  <c r="B8" i="1"/>
  <c r="F8" i="1" s="1"/>
  <c r="O8" i="7" l="1"/>
  <c r="O7" i="7"/>
  <c r="M16" i="7"/>
  <c r="O13" i="7"/>
  <c r="F13" i="1"/>
  <c r="E22" i="1"/>
  <c r="K16" i="7"/>
  <c r="E15" i="7"/>
  <c r="D16" i="7"/>
  <c r="F15" i="7"/>
  <c r="G15" i="7"/>
  <c r="H15" i="7"/>
  <c r="I15" i="7"/>
  <c r="D22" i="1"/>
  <c r="E17" i="1"/>
  <c r="F17" i="1" s="1"/>
  <c r="J15" i="7"/>
  <c r="O9" i="7"/>
  <c r="O16" i="7" s="1"/>
  <c r="K15" i="7"/>
  <c r="O11" i="7"/>
  <c r="L15" i="7"/>
  <c r="M15" i="7"/>
  <c r="N15" i="7"/>
  <c r="C15" i="7"/>
  <c r="O15" i="7" l="1"/>
</calcChain>
</file>

<file path=xl/sharedStrings.xml><?xml version="1.0" encoding="utf-8"?>
<sst xmlns="http://schemas.openxmlformats.org/spreadsheetml/2006/main" count="277" uniqueCount="164">
  <si>
    <t>🏠  CONTROL FINANCIERO DEL HOGAR</t>
  </si>
  <si>
    <t>Selecciona el mes y año para filtrar el resumen</t>
  </si>
  <si>
    <t>MES ACTUAL</t>
  </si>
  <si>
    <t>AÑO</t>
  </si>
  <si>
    <t>← Edita estas celdas</t>
  </si>
  <si>
    <t>Enero</t>
  </si>
  <si>
    <t>💰 INGRESOS</t>
  </si>
  <si>
    <t>💸 GASTOS</t>
  </si>
  <si>
    <t>📈 BALANCE</t>
  </si>
  <si>
    <t>🔄 RECURRENTES</t>
  </si>
  <si>
    <t>🛒 DIARIOS</t>
  </si>
  <si>
    <t>📋 GASTOS POR CATEGORÍA (mes seleccionado)</t>
  </si>
  <si>
    <t>💡 GUÍA RÁPIDA</t>
  </si>
  <si>
    <t>Categoría</t>
  </si>
  <si>
    <t>Recurrentes</t>
  </si>
  <si>
    <t>Diarios</t>
  </si>
  <si>
    <t>TOTAL</t>
  </si>
  <si>
    <t>% gasto</t>
  </si>
  <si>
    <t>1️⃣</t>
  </si>
  <si>
    <t>Cambia MES y AÑO (celdas azules) para filtrar</t>
  </si>
  <si>
    <t>🏠 Hogar/Alquiler</t>
  </si>
  <si>
    <t>2️⃣</t>
  </si>
  <si>
    <t>💰 INGRESOS → registra sueldos al inicio de mes</t>
  </si>
  <si>
    <t>⚡ Suministros</t>
  </si>
  <si>
    <t>3️⃣</t>
  </si>
  <si>
    <t>📅 RECURRENTES → configura gastos fijos (solo 1 vez)</t>
  </si>
  <si>
    <t>🍎 Alimentación</t>
  </si>
  <si>
    <t>4️⃣</t>
  </si>
  <si>
    <t>🛒 DIARIOS → anota cada gasto del día a día</t>
  </si>
  <si>
    <t>🚗 Transporte</t>
  </si>
  <si>
    <t>5️⃣</t>
  </si>
  <si>
    <t>Azul = dato manual  |  Negro = cálculo automático</t>
  </si>
  <si>
    <t>🎬 Ocio/Suscripciones</t>
  </si>
  <si>
    <t>🏥 Salud</t>
  </si>
  <si>
    <t>👗 Ropa/Personal</t>
  </si>
  <si>
    <t>💻 Tecnología</t>
  </si>
  <si>
    <t>📦 Otros</t>
  </si>
  <si>
    <t>💰  REGISTRO DE INGRESOS MENSUALES</t>
  </si>
  <si>
    <t>Registra aquí los ingresos de cada mes. Añade una fila por persona y concepto.</t>
  </si>
  <si>
    <t>#</t>
  </si>
  <si>
    <t>MES</t>
  </si>
  <si>
    <t>PERSONA</t>
  </si>
  <si>
    <t>CONCEPTO</t>
  </si>
  <si>
    <t>IMPORTE</t>
  </si>
  <si>
    <t>NOTAS</t>
  </si>
  <si>
    <t>Persona 1</t>
  </si>
  <si>
    <t>Persona 2</t>
  </si>
  <si>
    <t>Febrero</t>
  </si>
  <si>
    <t>📅  GASTOS RECURRENTES Y FIJOS</t>
  </si>
  <si>
    <t>Configura aquí tus gastos fijos. Se cuentan automáticamente en el resumen cada mes.</t>
  </si>
  <si>
    <t>NOMBRE DEL GASTO</t>
  </si>
  <si>
    <t>CATEGORÍA</t>
  </si>
  <si>
    <t>IMPORTE/MES</t>
  </si>
  <si>
    <t>DÍA COBRO</t>
  </si>
  <si>
    <t>FRECUENCIA</t>
  </si>
  <si>
    <t>ACTIVO</t>
  </si>
  <si>
    <t>Alquiler / Hipoteca</t>
  </si>
  <si>
    <t>Hogar</t>
  </si>
  <si>
    <t>Mensual</t>
  </si>
  <si>
    <t>✅</t>
  </si>
  <si>
    <t>Electricidad</t>
  </si>
  <si>
    <t>Suministros</t>
  </si>
  <si>
    <t>Endesa</t>
  </si>
  <si>
    <t>Gas</t>
  </si>
  <si>
    <t>Naturgy</t>
  </si>
  <si>
    <t>Agua</t>
  </si>
  <si>
    <t>Internet + Fibra</t>
  </si>
  <si>
    <t>Movistar</t>
  </si>
  <si>
    <t>Teléfono Persona 1</t>
  </si>
  <si>
    <t>Teléfono Persona 2</t>
  </si>
  <si>
    <t>Netflix</t>
  </si>
  <si>
    <t>Ocio</t>
  </si>
  <si>
    <t>Spotify</t>
  </si>
  <si>
    <t>Amazon Prime</t>
  </si>
  <si>
    <t>Gimnasio Persona 1</t>
  </si>
  <si>
    <t>Salud</t>
  </si>
  <si>
    <t>Seguro del Hogar</t>
  </si>
  <si>
    <t>420€/año ÷ 12</t>
  </si>
  <si>
    <t>Seguro de Coche</t>
  </si>
  <si>
    <t>Transporte</t>
  </si>
  <si>
    <t>660€/año ÷ 12</t>
  </si>
  <si>
    <t>Seguro de Salud</t>
  </si>
  <si>
    <t>Sanitas</t>
  </si>
  <si>
    <t>Comunidad de vecinos</t>
  </si>
  <si>
    <t>IBI (mensualizado)</t>
  </si>
  <si>
    <t>⏸️</t>
  </si>
  <si>
    <t>350€/año ÷ 12</t>
  </si>
  <si>
    <t>Google One / Backup</t>
  </si>
  <si>
    <t>Tecnología</t>
  </si>
  <si>
    <t>TOTAL RECURRENTES ACTIVOS (✅):</t>
  </si>
  <si>
    <t>🛒  REGISTRO DE GASTOS DIARIOS</t>
  </si>
  <si>
    <t>Aquí registráis cada gasto del día a día. Ambos podéis ir añadiendo filas.</t>
  </si>
  <si>
    <t>FECHA</t>
  </si>
  <si>
    <t>DESCRIPCIÓN</t>
  </si>
  <si>
    <t>QUIÉN PAGA</t>
  </si>
  <si>
    <t>PAGADO CON</t>
  </si>
  <si>
    <t>01/01/2025</t>
  </si>
  <si>
    <t>Alimentación</t>
  </si>
  <si>
    <t>Mercadona - compra semanal</t>
  </si>
  <si>
    <t>Tarjeta</t>
  </si>
  <si>
    <t>03/01/2025</t>
  </si>
  <si>
    <t>Gasolina</t>
  </si>
  <si>
    <t>05/01/2025</t>
  </si>
  <si>
    <t>Cine + cena</t>
  </si>
  <si>
    <t>Ambos</t>
  </si>
  <si>
    <t>Efectivo</t>
  </si>
  <si>
    <t>Noche de viernes</t>
  </si>
  <si>
    <t>07/01/2025</t>
  </si>
  <si>
    <t>Frutería</t>
  </si>
  <si>
    <t>10/01/2025</t>
  </si>
  <si>
    <t>Farmacia</t>
  </si>
  <si>
    <t>12/01/2025</t>
  </si>
  <si>
    <t>Supermercado Lidl</t>
  </si>
  <si>
    <t>15/01/2025</t>
  </si>
  <si>
    <t>Ropa</t>
  </si>
  <si>
    <t>Zara - rebajas invierno</t>
  </si>
  <si>
    <t>18/01/2025</t>
  </si>
  <si>
    <t>Parking centro</t>
  </si>
  <si>
    <t>25/01/2025</t>
  </si>
  <si>
    <t>Carnicería</t>
  </si>
  <si>
    <t>02/02/2025</t>
  </si>
  <si>
    <t>Mercadona</t>
  </si>
  <si>
    <t>👥  USUARIOS DE LA APP</t>
  </si>
  <si>
    <t>Añade aquí los usuarios. La app los leerá al sincronizar.</t>
  </si>
  <si>
    <t>NOMBRE</t>
  </si>
  <si>
    <t>💡 Cambia "Persona 1" y "Persona 2" por vuestros nombres reales</t>
  </si>
  <si>
    <t>🏷️  CATEGORÍAS DE GASTOS</t>
  </si>
  <si>
    <t>Añade o edita categorías. El icono es el nombre del Material Symbol (ver nota).</t>
  </si>
  <si>
    <t>ICONO (Material Symbol)</t>
  </si>
  <si>
    <t>restaurant</t>
  </si>
  <si>
    <t>directions_car</t>
  </si>
  <si>
    <t>movie</t>
  </si>
  <si>
    <t>local_hospital</t>
  </si>
  <si>
    <t>checkroom</t>
  </si>
  <si>
    <t>laptop</t>
  </si>
  <si>
    <t>home</t>
  </si>
  <si>
    <t>bolt</t>
  </si>
  <si>
    <t>Otros</t>
  </si>
  <si>
    <t>inventory_2</t>
  </si>
  <si>
    <t>💡 Iconos disponibles: fonts.google.com/icons → copia el nombre en snake_case</t>
  </si>
  <si>
    <t xml:space="preserve">     Ejemplo: "Vacaciones" → icono "beach_access"  |  "Mascota" → icono "pets"</t>
  </si>
  <si>
    <t>📆  RESUMEN ANUAL CONSOLIDADO</t>
  </si>
  <si>
    <t>Vista de los 12 meses del año. Cambia el AÑO para filtrar.</t>
  </si>
  <si>
    <t>AÑO:</t>
  </si>
  <si>
    <t>← Cambia este valor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</si>
  <si>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</si>
  <si>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</si>
  <si>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</si>
  <si>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</si>
  <si>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</si>
  <si>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</si>
  <si>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</si>
  <si>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</si>
  <si>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</si>
  <si>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</si>
  <si>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AÑO</t>
  </si>
  <si>
    <t>💰 Ingresos Persona 1</t>
  </si>
  <si>
    <t>💰 Ingresos Persona 2</t>
  </si>
  <si>
    <t>💰 TOTAL INGRESOS</t>
  </si>
  <si>
    <t>📅 Recurrentes fijos</t>
  </si>
  <si>
    <t>🛒 Gastos diarios</t>
  </si>
  <si>
    <t>💸 TOTAL GASTOS</t>
  </si>
  <si>
    <t>📈 BALANCE MENSUAL</t>
  </si>
  <si>
    <t>💡 % Ahorro s/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</si>
</sst>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€&quot;"/>
    <numFmt numFmtId="165" formatCode="0.0%"/>
    <numFmt numFmtId="166" formatCode="#,##0&quot; €&quot;"/>
  </numFmts>
  <fonts count="28" x14ac:knownFonts="1">
    <font>
      <sz val="11"/>
      <color theme="1"/>
      <name val="Calibri"/>
      <scheme val="minor"/>
    </font>
    <font>
      <b/>
      <sz val="16"/>
      <color rgb="FFFFFFFF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i/>
      <sz val="9"/>
      <color rgb="FF888888"/>
      <name val="Arial"/>
    </font>
    <font>
      <b/>
      <sz val="11"/>
      <color rgb="FF0000FF"/>
      <name val="Arial"/>
    </font>
    <font>
      <b/>
      <sz val="9"/>
      <color rgb="FFFFFFFF"/>
      <name val="Arial"/>
    </font>
    <font>
      <b/>
      <sz val="14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555555"/>
      <name val="Arial"/>
    </font>
    <font>
      <i/>
      <sz val="9"/>
      <color rgb="FF555555"/>
      <name val="Arial"/>
    </font>
    <font>
      <sz val="9"/>
      <color rgb="FF999999"/>
      <name val="Arial"/>
    </font>
    <font>
      <sz val="10"/>
      <color rgb="FF0000FF"/>
      <name val="Arial"/>
    </font>
    <font>
      <b/>
      <sz val="10"/>
      <color rgb="FF0000FF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b/>
      <sz val="10"/>
      <color rgb="FF1A6B3C"/>
      <name val="Arial"/>
    </font>
    <font>
      <b/>
      <sz val="10"/>
      <color rgb="FF999999"/>
      <name val="Arial"/>
    </font>
    <font>
      <b/>
      <sz val="12"/>
      <color rgb="FFFFFFFF"/>
      <name val="Arial"/>
    </font>
    <font>
      <b/>
      <sz val="12"/>
      <color rgb="FF0000FF"/>
      <name val="Arial"/>
    </font>
    <font>
      <b/>
      <sz val="14"/>
      <color rgb="FF6AB4F0"/>
      <name val="Arial"/>
    </font>
    <font>
      <sz val="11"/>
      <color rgb="FFA8C0D8"/>
      <name val="Arial"/>
    </font>
    <font>
      <b/>
      <sz val="11"/>
      <color rgb="FFB8D9F8"/>
      <name val="Arial"/>
    </font>
    <font>
      <sz val="11"/>
      <color rgb="FF6AB4F0"/>
      <name val="Arial"/>
    </font>
    <font>
      <sz val="11"/>
      <color rgb="FFD8E4F0"/>
      <name val="Arial"/>
    </font>
    <font>
      <sz val="11"/>
      <color rgb="FF000000"/>
      <name val="Arial"/>
    </font>
  </fonts>
  <fills count="34">
    <fill>
      <patternFill patternType="none"/>
    </fill>
    <fill>
      <patternFill patternType="gray125"/>
    </fill>
    <fill>
      <patternFill patternType="solid">
        <fgColor rgb="FF1A6B3C"/>
        <bgColor rgb="FF1A6B3C"/>
      </patternFill>
    </fill>
    <fill>
      <patternFill patternType="solid">
        <fgColor rgb="FFEEEEEE"/>
        <bgColor rgb="FFEEEEEE"/>
      </patternFill>
    </fill>
    <fill>
      <patternFill patternType="solid">
        <fgColor rgb="FF1B3A6B"/>
        <bgColor rgb="FF1B3A6B"/>
      </patternFill>
    </fill>
    <fill>
      <patternFill patternType="solid">
        <fgColor rgb="FFF9E79F"/>
        <bgColor rgb="FFF9E79F"/>
      </patternFill>
    </fill>
    <fill>
      <patternFill patternType="solid">
        <fgColor rgb="FF8B1A1A"/>
        <bgColor rgb="FF8B1A1A"/>
      </patternFill>
    </fill>
    <fill>
      <patternFill patternType="solid">
        <fgColor rgb="FF6D4C8E"/>
        <bgColor rgb="FF6D4C8E"/>
      </patternFill>
    </fill>
    <fill>
      <patternFill patternType="solid">
        <fgColor rgb="FFB7600A"/>
        <bgColor rgb="FFB7600A"/>
      </patternFill>
    </fill>
    <fill>
      <patternFill patternType="solid">
        <fgColor rgb="FF2C3E50"/>
        <bgColor rgb="FF2C3E50"/>
      </patternFill>
    </fill>
    <fill>
      <patternFill patternType="solid">
        <fgColor rgb="FFE67E22"/>
        <bgColor rgb="FFE67E22"/>
      </patternFill>
    </fill>
    <fill>
      <patternFill patternType="solid">
        <fgColor rgb="FF455A64"/>
        <bgColor rgb="FF455A64"/>
      </patternFill>
    </fill>
    <fill>
      <patternFill patternType="solid">
        <fgColor rgb="FFFFF3CD"/>
        <bgColor rgb="FFFFF3CD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0FFF4"/>
        <bgColor rgb="FFF0FFF4"/>
      </patternFill>
    </fill>
    <fill>
      <patternFill patternType="solid">
        <fgColor rgb="FF2E8B57"/>
        <bgColor rgb="FF2E8B57"/>
      </patternFill>
    </fill>
    <fill>
      <patternFill patternType="solid">
        <fgColor rgb="FFD6F0E0"/>
        <bgColor rgb="FFD6F0E0"/>
      </patternFill>
    </fill>
    <fill>
      <patternFill patternType="solid">
        <fgColor rgb="FFF3E5FF"/>
        <bgColor rgb="FFF3E5FF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  <fill>
      <patternFill patternType="solid">
        <fgColor rgb="FFFBE9E7"/>
        <bgColor rgb="FFFBE9E7"/>
      </patternFill>
    </fill>
    <fill>
      <patternFill patternType="solid">
        <fgColor rgb="FFE8EAF6"/>
        <bgColor rgb="FFE8EAF6"/>
      </patternFill>
    </fill>
    <fill>
      <patternFill patternType="solid">
        <fgColor rgb="FFFFF8F0"/>
        <bgColor rgb="FFFFF8F0"/>
      </patternFill>
    </fill>
    <fill>
      <patternFill patternType="solid">
        <fgColor rgb="FFD6E4F0"/>
        <bgColor rgb="FFD6E4F0"/>
      </patternFill>
    </fill>
    <fill>
      <patternFill patternType="solid">
        <fgColor rgb="FFEDE7F6"/>
        <bgColor rgb="FFEDE7F6"/>
      </patternFill>
    </fill>
    <fill>
      <patternFill patternType="solid">
        <fgColor rgb="FFFFF3E0"/>
        <bgColor rgb="FFFFF3E0"/>
      </patternFill>
    </fill>
    <fill>
      <patternFill patternType="solid">
        <fgColor rgb="FF0D2137"/>
      </patternFill>
    </fill>
    <fill>
      <patternFill patternType="solid">
        <fgColor rgb="FF1C2838"/>
      </patternFill>
    </fill>
    <fill>
      <patternFill patternType="solid">
        <fgColor rgb="FF1A3A5C"/>
      </patternFill>
    </fill>
    <fill>
      <patternFill patternType="solid">
        <fgColor rgb="FF111824"/>
      </patternFill>
    </fill>
    <fill>
      <patternFill patternType="solid">
        <fgColor rgb="FF162030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/>
    <xf numFmtId="164" fontId="9" fillId="13" borderId="1" xfId="0" applyNumberFormat="1" applyFont="1" applyFill="1" applyBorder="1" applyAlignment="1">
      <alignment horizontal="center" vertical="center" wrapText="1"/>
    </xf>
    <xf numFmtId="164" fontId="10" fillId="13" borderId="1" xfId="0" applyNumberFormat="1" applyFont="1" applyFill="1" applyBorder="1" applyAlignment="1">
      <alignment horizontal="center" vertical="center" wrapText="1"/>
    </xf>
    <xf numFmtId="165" fontId="11" fillId="13" borderId="1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/>
    <xf numFmtId="164" fontId="9" fillId="14" borderId="1" xfId="0" applyNumberFormat="1" applyFont="1" applyFill="1" applyBorder="1" applyAlignment="1">
      <alignment horizontal="center" vertical="center" wrapText="1"/>
    </xf>
    <xf numFmtId="164" fontId="10" fillId="14" borderId="1" xfId="0" applyNumberFormat="1" applyFont="1" applyFill="1" applyBorder="1" applyAlignment="1">
      <alignment horizontal="center" vertical="center" wrapText="1"/>
    </xf>
    <xf numFmtId="165" fontId="11" fillId="14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9" fontId="3" fillId="9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164" fontId="15" fillId="17" borderId="1" xfId="0" applyNumberFormat="1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164" fontId="15" fillId="14" borderId="1" xfId="0" applyNumberFormat="1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6" fillId="17" borderId="1" xfId="0" applyFont="1" applyFill="1" applyBorder="1" applyAlignment="1">
      <alignment horizontal="center" vertical="center" wrapText="1"/>
    </xf>
    <xf numFmtId="164" fontId="16" fillId="17" borderId="1" xfId="0" applyNumberFormat="1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164" fontId="16" fillId="14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15" fillId="19" borderId="1" xfId="0" applyFont="1" applyFill="1" applyBorder="1" applyAlignment="1">
      <alignment horizontal="center" vertical="center" wrapText="1"/>
    </xf>
    <xf numFmtId="164" fontId="14" fillId="19" borderId="1" xfId="0" applyNumberFormat="1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left" vertical="center" wrapText="1"/>
    </xf>
    <xf numFmtId="0" fontId="15" fillId="20" borderId="1" xfId="0" applyFont="1" applyFill="1" applyBorder="1" applyAlignment="1">
      <alignment horizontal="center" vertical="center" wrapText="1"/>
    </xf>
    <xf numFmtId="164" fontId="14" fillId="20" borderId="1" xfId="0" applyNumberFormat="1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left" vertical="center" wrapText="1"/>
    </xf>
    <xf numFmtId="0" fontId="15" fillId="21" borderId="1" xfId="0" applyFont="1" applyFill="1" applyBorder="1" applyAlignment="1">
      <alignment horizontal="center" vertical="center" wrapText="1"/>
    </xf>
    <xf numFmtId="164" fontId="14" fillId="21" borderId="1" xfId="0" applyNumberFormat="1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center" vertical="center" wrapText="1"/>
    </xf>
    <xf numFmtId="0" fontId="13" fillId="22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left" vertical="center" wrapText="1"/>
    </xf>
    <xf numFmtId="0" fontId="15" fillId="22" borderId="1" xfId="0" applyFont="1" applyFill="1" applyBorder="1" applyAlignment="1">
      <alignment horizontal="center" vertical="center" wrapText="1"/>
    </xf>
    <xf numFmtId="164" fontId="14" fillId="22" borderId="1" xfId="0" applyNumberFormat="1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left" vertical="center" wrapText="1"/>
    </xf>
    <xf numFmtId="0" fontId="15" fillId="23" borderId="1" xfId="0" applyFont="1" applyFill="1" applyBorder="1" applyAlignment="1">
      <alignment horizontal="center" vertical="center" wrapText="1"/>
    </xf>
    <xf numFmtId="164" fontId="14" fillId="23" borderId="1" xfId="0" applyNumberFormat="1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13" fillId="24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left" vertical="center" wrapText="1"/>
    </xf>
    <xf numFmtId="0" fontId="15" fillId="24" borderId="1" xfId="0" applyFont="1" applyFill="1" applyBorder="1" applyAlignment="1">
      <alignment horizontal="center" vertical="center" wrapText="1"/>
    </xf>
    <xf numFmtId="164" fontId="14" fillId="24" borderId="1" xfId="0" applyNumberFormat="1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8" fillId="24" borderId="1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 wrapText="1"/>
    </xf>
    <xf numFmtId="164" fontId="16" fillId="18" borderId="1" xfId="0" applyNumberFormat="1" applyFont="1" applyFill="1" applyBorder="1" applyAlignment="1">
      <alignment horizontal="center" vertical="center" wrapText="1"/>
    </xf>
    <xf numFmtId="164" fontId="20" fillId="7" borderId="3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14" fillId="22" borderId="1" xfId="0" applyNumberFormat="1" applyFont="1" applyFill="1" applyBorder="1" applyAlignment="1">
      <alignment horizontal="left" vertical="center" wrapText="1"/>
    </xf>
    <xf numFmtId="164" fontId="14" fillId="23" borderId="1" xfId="0" applyNumberFormat="1" applyFont="1" applyFill="1" applyBorder="1" applyAlignment="1">
      <alignment horizontal="left" vertical="center" wrapText="1"/>
    </xf>
    <xf numFmtId="164" fontId="14" fillId="21" borderId="1" xfId="0" applyNumberFormat="1" applyFont="1" applyFill="1" applyBorder="1" applyAlignment="1">
      <alignment horizontal="left" vertical="center" wrapText="1"/>
    </xf>
    <xf numFmtId="164" fontId="14" fillId="19" borderId="1" xfId="0" applyNumberFormat="1" applyFont="1" applyFill="1" applyBorder="1" applyAlignment="1">
      <alignment horizontal="left" vertical="center" wrapText="1"/>
    </xf>
    <xf numFmtId="164" fontId="14" fillId="20" borderId="1" xfId="0" applyNumberFormat="1" applyFont="1" applyFill="1" applyBorder="1" applyAlignment="1">
      <alignment horizontal="left" vertical="center" wrapText="1"/>
    </xf>
    <xf numFmtId="0" fontId="16" fillId="25" borderId="1" xfId="0" applyFont="1" applyFill="1" applyBorder="1" applyAlignment="1">
      <alignment horizontal="center" vertical="center" wrapText="1"/>
    </xf>
    <xf numFmtId="164" fontId="16" fillId="25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left" vertical="center" wrapText="1"/>
    </xf>
    <xf numFmtId="166" fontId="9" fillId="17" borderId="1" xfId="0" applyNumberFormat="1" applyFont="1" applyFill="1" applyBorder="1" applyAlignment="1">
      <alignment horizontal="center" vertical="center" wrapText="1"/>
    </xf>
    <xf numFmtId="166" fontId="10" fillId="17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166" fontId="6" fillId="2" borderId="3" xfId="0" applyNumberFormat="1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left" vertical="center" wrapText="1"/>
    </xf>
    <xf numFmtId="166" fontId="9" fillId="27" borderId="1" xfId="0" applyNumberFormat="1" applyFont="1" applyFill="1" applyBorder="1" applyAlignment="1">
      <alignment horizontal="center" vertical="center" wrapText="1"/>
    </xf>
    <xf numFmtId="166" fontId="10" fillId="27" borderId="3" xfId="0" applyNumberFormat="1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left" vertical="center" wrapText="1"/>
    </xf>
    <xf numFmtId="166" fontId="9" fillId="28" borderId="1" xfId="0" applyNumberFormat="1" applyFont="1" applyFill="1" applyBorder="1" applyAlignment="1">
      <alignment horizontal="center" vertical="center" wrapText="1"/>
    </xf>
    <xf numFmtId="166" fontId="10" fillId="28" borderId="3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166" fontId="6" fillId="6" borderId="3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66" fontId="6" fillId="4" borderId="1" xfId="0" applyNumberFormat="1" applyFont="1" applyFill="1" applyBorder="1" applyAlignment="1">
      <alignment horizontal="center" vertical="center" wrapText="1"/>
    </xf>
    <xf numFmtId="166" fontId="6" fillId="4" borderId="3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165" fontId="9" fillId="26" borderId="1" xfId="0" applyNumberFormat="1" applyFont="1" applyFill="1" applyBorder="1" applyAlignment="1">
      <alignment horizontal="center" vertical="center" wrapText="1"/>
    </xf>
    <xf numFmtId="165" fontId="10" fillId="26" borderId="3" xfId="0" applyNumberFormat="1" applyFont="1" applyFill="1" applyBorder="1" applyAlignment="1">
      <alignment horizontal="center" vertical="center" wrapText="1"/>
    </xf>
    <xf numFmtId="0" fontId="24" fillId="31" borderId="0" xfId="0" applyFont="1" applyFill="1" applyAlignment="1">
      <alignment horizontal="center" vertical="center"/>
    </xf>
    <xf numFmtId="0" fontId="25" fillId="32" borderId="0" xfId="0" applyFont="1" applyFill="1" applyAlignment="1">
      <alignment horizontal="center" vertical="center"/>
    </xf>
    <xf numFmtId="0" fontId="26" fillId="32" borderId="0" xfId="0" applyFont="1" applyFill="1"/>
    <xf numFmtId="0" fontId="27" fillId="0" borderId="0" xfId="0" applyFont="1"/>
    <xf numFmtId="0" fontId="23" fillId="32" borderId="0" xfId="0" applyFont="1" applyFill="1"/>
    <xf numFmtId="0" fontId="9" fillId="12" borderId="4" xfId="0" applyFont="1" applyFill="1" applyBorder="1" applyAlignment="1">
      <alignment horizontal="left" vertical="center" wrapText="1"/>
    </xf>
    <xf numFmtId="0" fontId="0" fillId="0" borderId="2" xfId="0" applyBorder="1"/>
    <xf numFmtId="0" fontId="6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1" fillId="2" borderId="5" xfId="0" applyFont="1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164" fontId="7" fillId="6" borderId="6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164" fontId="7" fillId="7" borderId="6" xfId="0" applyNumberFormat="1" applyFont="1" applyFill="1" applyBorder="1" applyAlignment="1">
      <alignment horizontal="center" vertical="center" wrapText="1"/>
    </xf>
    <xf numFmtId="164" fontId="7" fillId="8" borderId="6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12" fillId="25" borderId="5" xfId="0" applyFont="1" applyFill="1" applyBorder="1" applyAlignment="1">
      <alignment horizontal="center" vertical="center" wrapText="1"/>
    </xf>
    <xf numFmtId="0" fontId="22" fillId="29" borderId="0" xfId="0" applyFont="1" applyFill="1" applyAlignment="1">
      <alignment horizontal="center" vertical="center"/>
    </xf>
    <xf numFmtId="0" fontId="23" fillId="33" borderId="0" xfId="0" applyFont="1" applyFill="1" applyAlignment="1">
      <alignment horizontal="center" vertical="center"/>
    </xf>
    <xf numFmtId="0" fontId="23" fillId="30" borderId="0" xfId="0" applyFont="1" applyFill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12" fillId="26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showGridLines="0" topLeftCell="A8" workbookViewId="0"/>
  </sheetViews>
  <sheetFormatPr baseColWidth="10" defaultColWidth="14.44140625" defaultRowHeight="15" customHeight="1" x14ac:dyDescent="0.3"/>
  <cols>
    <col min="1" max="2" width="2" customWidth="1"/>
    <col min="3" max="6" width="16" customWidth="1"/>
    <col min="7" max="7" width="2" customWidth="1"/>
    <col min="8" max="8" width="4" customWidth="1"/>
    <col min="9" max="9" width="44" customWidth="1"/>
    <col min="10" max="12" width="2" customWidth="1"/>
    <col min="13" max="26" width="8.6640625" customWidth="1"/>
  </cols>
  <sheetData>
    <row r="1" spans="2:12" ht="37.5" customHeight="1" x14ac:dyDescent="0.3">
      <c r="B1" s="119" t="s">
        <v>0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2:12" ht="15" customHeight="1" x14ac:dyDescent="0.3">
      <c r="B2" s="116" t="s">
        <v>1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4" spans="2:12" ht="21.75" customHeight="1" x14ac:dyDescent="0.3">
      <c r="B4" s="130" t="s">
        <v>2</v>
      </c>
      <c r="C4" s="111"/>
      <c r="D4" s="1" t="s">
        <v>3</v>
      </c>
      <c r="E4" s="2" t="s">
        <v>4</v>
      </c>
    </row>
    <row r="5" spans="2:12" ht="24" customHeight="1" x14ac:dyDescent="0.3">
      <c r="B5" s="126" t="s">
        <v>5</v>
      </c>
      <c r="C5" s="111"/>
      <c r="D5" s="3">
        <v>2026</v>
      </c>
    </row>
    <row r="7" spans="2:12" ht="24" customHeight="1" x14ac:dyDescent="0.3">
      <c r="B7" s="112" t="s">
        <v>6</v>
      </c>
      <c r="C7" s="111"/>
      <c r="D7" s="121" t="s">
        <v>7</v>
      </c>
      <c r="E7" s="111"/>
      <c r="F7" s="113" t="s">
        <v>8</v>
      </c>
      <c r="G7" s="111"/>
      <c r="H7" s="123" t="s">
        <v>9</v>
      </c>
      <c r="I7" s="111"/>
      <c r="J7" s="124" t="s">
        <v>10</v>
      </c>
      <c r="K7" s="111"/>
    </row>
    <row r="8" spans="2:12" ht="33.75" customHeight="1" x14ac:dyDescent="0.3">
      <c r="B8" s="117">
        <f>SUMPRODUCT(('💰 INGRESOS'!C$5:C$500=B5)*('💰 INGRESOS'!D$5:D$500=D5)*'💰 INGRESOS'!G$5:G$500)</f>
        <v>0</v>
      </c>
      <c r="C8" s="118"/>
      <c r="D8" s="125">
        <f>SUMIF('📅 RECURRENTES'!H:H,"✅",'📅 RECURRENTES'!E:E)+SUMIFS('🛒 DIARIOS'!H:H,'🛒 DIARIOS'!C:C,B5,'🛒 DIARIOS'!D:D,D5)</f>
        <v>1417</v>
      </c>
      <c r="E8" s="118"/>
      <c r="F8" s="120">
        <f>B8-D8</f>
        <v>-1417</v>
      </c>
      <c r="G8" s="118"/>
      <c r="H8" s="128">
        <f>SUMIF('📅 RECURRENTES'!H:H,"✅",'📅 RECURRENTES'!E:E)</f>
        <v>1417</v>
      </c>
      <c r="I8" s="118"/>
      <c r="J8" s="129">
        <f>SUMIFS('🛒 DIARIOS'!H:H,'🛒 DIARIOS'!C:C,B5,'🛒 DIARIOS'!D:D,D5)</f>
        <v>0</v>
      </c>
      <c r="K8" s="118"/>
    </row>
    <row r="9" spans="2:12" ht="18" customHeight="1" x14ac:dyDescent="0.3"/>
    <row r="11" spans="2:12" ht="21.75" customHeight="1" x14ac:dyDescent="0.3">
      <c r="B11" s="114" t="s">
        <v>11</v>
      </c>
      <c r="C11" s="115"/>
      <c r="D11" s="115"/>
      <c r="E11" s="115"/>
      <c r="F11" s="115"/>
      <c r="H11" s="127" t="s">
        <v>12</v>
      </c>
      <c r="I11" s="115"/>
      <c r="J11" s="115"/>
      <c r="K11" s="115"/>
    </row>
    <row r="12" spans="2:12" ht="74.25" customHeight="1" x14ac:dyDescent="0.3"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H12" s="5" t="s">
        <v>18</v>
      </c>
      <c r="I12" s="110" t="s">
        <v>19</v>
      </c>
      <c r="J12" s="111"/>
      <c r="K12" s="111"/>
    </row>
    <row r="13" spans="2:12" ht="15" customHeight="1" x14ac:dyDescent="0.3">
      <c r="B13" s="6" t="s">
        <v>20</v>
      </c>
      <c r="C13" s="7"/>
      <c r="D13" s="7">
        <f>SUMIFS('🛒 DIARIOS'!H:H,'🛒 DIARIOS'!C:C,B5,'🛒 DIARIOS'!D:D,D5,'🛒 DIARIOS'!F:F,"Hogar")</f>
        <v>0</v>
      </c>
      <c r="E13" s="8">
        <f t="shared" ref="E13:E21" si="0">C13+D13</f>
        <v>0</v>
      </c>
      <c r="F13" s="9">
        <f>IFERROR(E13/D8,0)</f>
        <v>0</v>
      </c>
      <c r="H13" s="10" t="s">
        <v>21</v>
      </c>
      <c r="I13" s="122" t="s">
        <v>22</v>
      </c>
      <c r="J13" s="111"/>
      <c r="K13" s="111"/>
    </row>
    <row r="14" spans="2:12" ht="15" customHeight="1" x14ac:dyDescent="0.3">
      <c r="B14" s="11" t="s">
        <v>23</v>
      </c>
      <c r="C14" s="12"/>
      <c r="D14" s="12">
        <f>SUMIFS('🛒 DIARIOS'!H:H,'🛒 DIARIOS'!C:C,B5,'🛒 DIARIOS'!D:D,D5,'🛒 DIARIOS'!F:F,"Suministros")</f>
        <v>0</v>
      </c>
      <c r="E14" s="13">
        <f t="shared" si="0"/>
        <v>0</v>
      </c>
      <c r="F14" s="14">
        <f>IFERROR(E14/D8,0)</f>
        <v>0</v>
      </c>
      <c r="H14" s="5" t="s">
        <v>24</v>
      </c>
      <c r="I14" s="110" t="s">
        <v>25</v>
      </c>
      <c r="J14" s="111"/>
      <c r="K14" s="111"/>
    </row>
    <row r="15" spans="2:12" ht="15" customHeight="1" x14ac:dyDescent="0.3">
      <c r="B15" s="6" t="s">
        <v>26</v>
      </c>
      <c r="C15" s="7"/>
      <c r="D15" s="7">
        <f>SUMIFS('🛒 DIARIOS'!H:H,'🛒 DIARIOS'!C:C,B5,'🛒 DIARIOS'!D:D,D5,'🛒 DIARIOS'!F:F,"Alimentación")</f>
        <v>0</v>
      </c>
      <c r="E15" s="8">
        <f t="shared" si="0"/>
        <v>0</v>
      </c>
      <c r="F15" s="9">
        <f>IFERROR(E15/D8,0)</f>
        <v>0</v>
      </c>
      <c r="H15" s="10" t="s">
        <v>27</v>
      </c>
      <c r="I15" s="122" t="s">
        <v>28</v>
      </c>
      <c r="J15" s="111"/>
      <c r="K15" s="111"/>
    </row>
    <row r="16" spans="2:12" ht="15" customHeight="1" x14ac:dyDescent="0.3">
      <c r="B16" s="11" t="s">
        <v>29</v>
      </c>
      <c r="C16" s="12"/>
      <c r="D16" s="12">
        <f>SUMIFS('🛒 DIARIOS'!H:H,'🛒 DIARIOS'!C:C,B5,'🛒 DIARIOS'!D:D,D5,'🛒 DIARIOS'!F:F,"Transporte")</f>
        <v>0</v>
      </c>
      <c r="E16" s="13">
        <f t="shared" si="0"/>
        <v>0</v>
      </c>
      <c r="F16" s="14">
        <f>IFERROR(E16/D8,0)</f>
        <v>0</v>
      </c>
      <c r="H16" s="5" t="s">
        <v>30</v>
      </c>
      <c r="I16" s="110" t="s">
        <v>31</v>
      </c>
      <c r="J16" s="111"/>
      <c r="K16" s="111"/>
    </row>
    <row r="17" spans="2:6" ht="14.4" x14ac:dyDescent="0.3">
      <c r="B17" s="6" t="s">
        <v>32</v>
      </c>
      <c r="C17" s="7">
        <f>SUMIFS('📅 RECURRENTES'!E:E,'📅 RECURRENTES'!D:D,"Ocio",'📅 RECURRENTES'!H:H,"✅")</f>
        <v>34</v>
      </c>
      <c r="D17" s="7">
        <f>SUMIFS('🛒 DIARIOS'!H:H,'🛒 DIARIOS'!C:C,B5,'🛒 DIARIOS'!D:D,D5,'🛒 DIARIOS'!F:F,"Ocio")</f>
        <v>0</v>
      </c>
      <c r="E17" s="8">
        <f t="shared" si="0"/>
        <v>34</v>
      </c>
      <c r="F17" s="9">
        <f>IFERROR(E17/D8,0)</f>
        <v>2.3994354269583629E-2</v>
      </c>
    </row>
    <row r="18" spans="2:6" ht="14.4" x14ac:dyDescent="0.3">
      <c r="B18" s="11" t="s">
        <v>33</v>
      </c>
      <c r="C18" s="12">
        <f>SUMIFS('📅 RECURRENTES'!E:E,'📅 RECURRENTES'!D:D,"Salud",'📅 RECURRENTES'!H:H,"✅")</f>
        <v>110</v>
      </c>
      <c r="D18" s="12">
        <f>SUMIFS('🛒 DIARIOS'!H:H,'🛒 DIARIOS'!C:C,B5,'🛒 DIARIOS'!D:D,D5,'🛒 DIARIOS'!F:F,"Salud")</f>
        <v>0</v>
      </c>
      <c r="E18" s="13">
        <f t="shared" si="0"/>
        <v>110</v>
      </c>
      <c r="F18" s="14">
        <f>IFERROR(E18/D8,0)</f>
        <v>7.7628793225123505E-2</v>
      </c>
    </row>
    <row r="19" spans="2:6" ht="14.4" x14ac:dyDescent="0.3">
      <c r="B19" s="6" t="s">
        <v>34</v>
      </c>
      <c r="C19" s="7">
        <f>SUMIFS('📅 RECURRENTES'!E:E,'📅 RECURRENTES'!D:D,"Ropa",'📅 RECURRENTES'!H:H,"✅")</f>
        <v>0</v>
      </c>
      <c r="D19" s="7">
        <f>SUMIFS('🛒 DIARIOS'!H:H,'🛒 DIARIOS'!C:C,B5,'🛒 DIARIOS'!D:D,D5,'🛒 DIARIOS'!F:F,"Ropa")</f>
        <v>0</v>
      </c>
      <c r="E19" s="8">
        <f t="shared" si="0"/>
        <v>0</v>
      </c>
      <c r="F19" s="9">
        <f>IFERROR(E19/D8,0)</f>
        <v>0</v>
      </c>
    </row>
    <row r="20" spans="2:6" ht="14.4" x14ac:dyDescent="0.3">
      <c r="B20" s="11" t="s">
        <v>35</v>
      </c>
      <c r="C20" s="12">
        <f>SUMIFS('📅 RECURRENTES'!E:E,'📅 RECURRENTES'!D:D,"Tecnología",'📅 RECURRENTES'!H:H,"✅")</f>
        <v>3</v>
      </c>
      <c r="D20" s="12">
        <f>SUMIFS('🛒 DIARIOS'!H:H,'🛒 DIARIOS'!C:C,B5,'🛒 DIARIOS'!D:D,D5,'🛒 DIARIOS'!F:F,"Tecnología")</f>
        <v>0</v>
      </c>
      <c r="E20" s="13">
        <f t="shared" si="0"/>
        <v>3</v>
      </c>
      <c r="F20" s="14">
        <f>IFERROR(E20/D8,0)</f>
        <v>2.1171489061397319E-3</v>
      </c>
    </row>
    <row r="21" spans="2:6" ht="15.75" customHeight="1" x14ac:dyDescent="0.3">
      <c r="B21" s="6" t="s">
        <v>36</v>
      </c>
      <c r="C21" s="7">
        <f>SUMIFS('📅 RECURRENTES'!E:E,'📅 RECURRENTES'!D:D,"Otros",'📅 RECURRENTES'!H:H,"✅")</f>
        <v>0</v>
      </c>
      <c r="D21" s="7">
        <f>SUMIFS('🛒 DIARIOS'!H:H,'🛒 DIARIOS'!C:C,B5,'🛒 DIARIOS'!D:D,D5,'🛒 DIARIOS'!F:F,"Otros")</f>
        <v>0</v>
      </c>
      <c r="E21" s="8">
        <f t="shared" si="0"/>
        <v>0</v>
      </c>
      <c r="F21" s="9">
        <f>IFERROR(E21/D8,0)</f>
        <v>0</v>
      </c>
    </row>
    <row r="22" spans="2:6" ht="15.75" customHeight="1" x14ac:dyDescent="0.3">
      <c r="B22" s="15" t="s">
        <v>16</v>
      </c>
      <c r="C22" s="16">
        <f>SUM(C13:C21)</f>
        <v>147</v>
      </c>
      <c r="D22" s="16">
        <f>SUM(D13:D21)</f>
        <v>0</v>
      </c>
      <c r="E22" s="16">
        <f>SUM(E13:E21)</f>
        <v>147</v>
      </c>
      <c r="F22" s="17">
        <f>100%</f>
        <v>1</v>
      </c>
    </row>
    <row r="23" spans="2:6" ht="15.75" customHeight="1" x14ac:dyDescent="0.3"/>
    <row r="24" spans="2:6" ht="15.75" customHeight="1" x14ac:dyDescent="0.3"/>
    <row r="25" spans="2:6" ht="15.75" customHeight="1" x14ac:dyDescent="0.3"/>
    <row r="26" spans="2:6" ht="15.75" customHeight="1" x14ac:dyDescent="0.3"/>
    <row r="27" spans="2:6" ht="15.75" customHeight="1" x14ac:dyDescent="0.3"/>
    <row r="28" spans="2:6" ht="15.75" customHeight="1" x14ac:dyDescent="0.3"/>
    <row r="29" spans="2:6" ht="15.75" customHeight="1" x14ac:dyDescent="0.3"/>
    <row r="30" spans="2:6" ht="15.75" customHeight="1" x14ac:dyDescent="0.3"/>
    <row r="31" spans="2:6" ht="15.75" customHeight="1" x14ac:dyDescent="0.3"/>
    <row r="32" spans="2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1">
    <mergeCell ref="B2:L2"/>
    <mergeCell ref="B8:C8"/>
    <mergeCell ref="B1:L1"/>
    <mergeCell ref="F8:G8"/>
    <mergeCell ref="D7:E7"/>
    <mergeCell ref="H7:I7"/>
    <mergeCell ref="J7:K7"/>
    <mergeCell ref="D8:E8"/>
    <mergeCell ref="B5:C5"/>
    <mergeCell ref="H8:I8"/>
    <mergeCell ref="J8:K8"/>
    <mergeCell ref="B4:C4"/>
    <mergeCell ref="I16:K16"/>
    <mergeCell ref="B7:C7"/>
    <mergeCell ref="I12:K12"/>
    <mergeCell ref="F7:G7"/>
    <mergeCell ref="I14:K14"/>
    <mergeCell ref="B11:F11"/>
    <mergeCell ref="I13:K13"/>
    <mergeCell ref="I15:K15"/>
    <mergeCell ref="H11:K1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showGridLines="0" tabSelected="1" workbookViewId="0">
      <selection activeCell="A9" sqref="A9:XFD9"/>
    </sheetView>
  </sheetViews>
  <sheetFormatPr baseColWidth="10" defaultColWidth="14.44140625" defaultRowHeight="15" customHeight="1" x14ac:dyDescent="0.3"/>
  <cols>
    <col min="1" max="1" width="2" customWidth="1"/>
    <col min="2" max="2" width="5" customWidth="1"/>
    <col min="3" max="3" width="14" customWidth="1"/>
    <col min="4" max="4" width="8" customWidth="1"/>
    <col min="5" max="5" width="18" customWidth="1"/>
    <col min="6" max="6" width="28" customWidth="1"/>
    <col min="7" max="7" width="16" customWidth="1"/>
    <col min="8" max="8" width="34" customWidth="1"/>
    <col min="9" max="26" width="8.6640625" customWidth="1"/>
  </cols>
  <sheetData>
    <row r="1" spans="2:8" ht="36" customHeight="1" x14ac:dyDescent="0.3">
      <c r="B1" s="131" t="s">
        <v>37</v>
      </c>
      <c r="C1" s="115"/>
      <c r="D1" s="115"/>
      <c r="E1" s="115"/>
      <c r="F1" s="115"/>
      <c r="G1" s="115"/>
      <c r="H1" s="115"/>
    </row>
    <row r="2" spans="2:8" ht="15" customHeight="1" x14ac:dyDescent="0.3">
      <c r="B2" s="132" t="s">
        <v>38</v>
      </c>
      <c r="C2" s="115"/>
      <c r="D2" s="115"/>
      <c r="E2" s="115"/>
      <c r="F2" s="115"/>
      <c r="G2" s="115"/>
      <c r="H2" s="115"/>
    </row>
    <row r="4" spans="2:8" ht="24" customHeight="1" x14ac:dyDescent="0.3">
      <c r="B4" s="18" t="s">
        <v>39</v>
      </c>
      <c r="C4" s="18" t="s">
        <v>40</v>
      </c>
      <c r="D4" s="18" t="s">
        <v>3</v>
      </c>
      <c r="E4" s="18" t="s">
        <v>41</v>
      </c>
      <c r="F4" s="18" t="s">
        <v>42</v>
      </c>
      <c r="G4" s="18" t="s">
        <v>43</v>
      </c>
      <c r="H4" s="18" t="s">
        <v>44</v>
      </c>
    </row>
    <row r="5" spans="2:8" ht="14.4" x14ac:dyDescent="0.3">
      <c r="B5" s="19"/>
      <c r="C5" s="20"/>
      <c r="D5" s="20"/>
      <c r="E5" s="20"/>
      <c r="F5" s="21"/>
      <c r="G5" s="22"/>
      <c r="H5" s="22"/>
    </row>
    <row r="6" spans="2:8" ht="14.4" x14ac:dyDescent="0.3">
      <c r="B6" s="23"/>
      <c r="C6" s="24"/>
      <c r="D6" s="24"/>
      <c r="E6" s="24"/>
      <c r="F6" s="25"/>
      <c r="G6" s="26"/>
      <c r="H6" s="26"/>
    </row>
    <row r="7" spans="2:8" ht="14.4" x14ac:dyDescent="0.3">
      <c r="B7" s="19"/>
      <c r="C7" s="20"/>
      <c r="D7" s="20"/>
      <c r="E7" s="20"/>
      <c r="F7" s="21"/>
      <c r="G7" s="22"/>
      <c r="H7" s="22"/>
    </row>
    <row r="8" spans="2:8" ht="14.4" x14ac:dyDescent="0.3">
      <c r="B8" s="23"/>
      <c r="C8" s="24"/>
      <c r="D8" s="24"/>
      <c r="E8" s="24"/>
      <c r="F8" s="25"/>
      <c r="G8" s="26"/>
      <c r="H8" s="26"/>
    </row>
    <row r="9" spans="2:8" ht="14.4" x14ac:dyDescent="0.3">
      <c r="B9" s="19"/>
      <c r="C9" s="20"/>
      <c r="D9" s="20"/>
      <c r="E9" s="20"/>
      <c r="F9" s="21"/>
      <c r="G9" s="22"/>
      <c r="H9" s="22"/>
    </row>
    <row r="10" spans="2:8" ht="14.4" x14ac:dyDescent="0.3">
      <c r="B10" s="27"/>
      <c r="C10" s="27"/>
      <c r="D10" s="27"/>
      <c r="E10" s="27"/>
      <c r="F10" s="27"/>
      <c r="G10" s="28"/>
      <c r="H10" s="27"/>
    </row>
    <row r="11" spans="2:8" ht="14.4" x14ac:dyDescent="0.3">
      <c r="B11" s="29"/>
      <c r="C11" s="29"/>
      <c r="D11" s="29"/>
      <c r="E11" s="29"/>
      <c r="F11" s="29"/>
      <c r="G11" s="30"/>
      <c r="H11" s="29"/>
    </row>
    <row r="12" spans="2:8" ht="14.4" x14ac:dyDescent="0.3">
      <c r="B12" s="27"/>
      <c r="C12" s="27"/>
      <c r="D12" s="27"/>
      <c r="E12" s="27"/>
      <c r="F12" s="27"/>
      <c r="G12" s="28"/>
      <c r="H12" s="27"/>
    </row>
    <row r="13" spans="2:8" ht="14.4" x14ac:dyDescent="0.3">
      <c r="B13" s="29"/>
      <c r="C13" s="29"/>
      <c r="D13" s="29"/>
      <c r="E13" s="29"/>
      <c r="F13" s="29"/>
      <c r="G13" s="30"/>
      <c r="H13" s="29"/>
    </row>
    <row r="14" spans="2:8" ht="14.4" x14ac:dyDescent="0.3">
      <c r="B14" s="27"/>
      <c r="C14" s="27"/>
      <c r="D14" s="27"/>
      <c r="E14" s="27"/>
      <c r="F14" s="27"/>
      <c r="G14" s="28"/>
      <c r="H14" s="27"/>
    </row>
    <row r="15" spans="2:8" ht="14.4" x14ac:dyDescent="0.3">
      <c r="B15" s="29"/>
      <c r="C15" s="29"/>
      <c r="D15" s="29"/>
      <c r="E15" s="29"/>
      <c r="F15" s="29"/>
      <c r="G15" s="30"/>
      <c r="H15" s="29"/>
    </row>
    <row r="16" spans="2:8" ht="14.4" x14ac:dyDescent="0.3">
      <c r="B16" s="27"/>
      <c r="C16" s="27"/>
      <c r="D16" s="27"/>
      <c r="E16" s="27"/>
      <c r="F16" s="27"/>
      <c r="G16" s="28"/>
      <c r="H16" s="27"/>
    </row>
    <row r="17" spans="2:8" ht="14.4" x14ac:dyDescent="0.3">
      <c r="B17" s="29"/>
      <c r="C17" s="29"/>
      <c r="D17" s="29"/>
      <c r="E17" s="29"/>
      <c r="F17" s="29"/>
      <c r="G17" s="30"/>
      <c r="H17" s="29"/>
    </row>
    <row r="18" spans="2:8" ht="14.4" x14ac:dyDescent="0.3">
      <c r="B18" s="27"/>
      <c r="C18" s="27"/>
      <c r="D18" s="27"/>
      <c r="E18" s="27"/>
      <c r="F18" s="27"/>
      <c r="G18" s="28"/>
      <c r="H18" s="27"/>
    </row>
    <row r="19" spans="2:8" ht="14.4" x14ac:dyDescent="0.3">
      <c r="B19" s="29"/>
      <c r="C19" s="29"/>
      <c r="D19" s="29"/>
      <c r="E19" s="29"/>
      <c r="F19" s="29"/>
      <c r="G19" s="30"/>
      <c r="H19" s="29"/>
    </row>
    <row r="20" spans="2:8" ht="14.4" x14ac:dyDescent="0.3">
      <c r="B20" s="27"/>
      <c r="C20" s="27"/>
      <c r="D20" s="27"/>
      <c r="E20" s="27"/>
      <c r="F20" s="27"/>
      <c r="G20" s="28"/>
      <c r="H20" s="27"/>
    </row>
    <row r="21" spans="2:8" ht="15.75" customHeight="1" x14ac:dyDescent="0.3">
      <c r="B21" s="29"/>
      <c r="C21" s="29"/>
      <c r="D21" s="29"/>
      <c r="E21" s="29"/>
      <c r="F21" s="29"/>
      <c r="G21" s="30"/>
      <c r="H21" s="29"/>
    </row>
    <row r="22" spans="2:8" ht="15.75" customHeight="1" x14ac:dyDescent="0.3">
      <c r="B22" s="27"/>
      <c r="C22" s="27"/>
      <c r="D22" s="27"/>
      <c r="E22" s="27"/>
      <c r="F22" s="27"/>
      <c r="G22" s="28"/>
      <c r="H22" s="27"/>
    </row>
    <row r="23" spans="2:8" ht="15.75" customHeight="1" x14ac:dyDescent="0.3">
      <c r="B23" s="29"/>
      <c r="C23" s="29"/>
      <c r="D23" s="29"/>
      <c r="E23" s="29"/>
      <c r="F23" s="29"/>
      <c r="G23" s="30"/>
      <c r="H23" s="29"/>
    </row>
    <row r="24" spans="2:8" ht="15.75" customHeight="1" x14ac:dyDescent="0.3">
      <c r="B24" s="27"/>
      <c r="C24" s="27"/>
      <c r="D24" s="27"/>
      <c r="E24" s="27"/>
      <c r="F24" s="27"/>
      <c r="G24" s="28"/>
      <c r="H24" s="27"/>
    </row>
    <row r="25" spans="2:8" ht="15.75" customHeight="1" x14ac:dyDescent="0.3">
      <c r="B25" s="29"/>
      <c r="C25" s="29"/>
      <c r="D25" s="29"/>
      <c r="E25" s="29"/>
      <c r="F25" s="29"/>
      <c r="G25" s="30"/>
      <c r="H25" s="29"/>
    </row>
    <row r="26" spans="2:8" ht="15.75" customHeight="1" x14ac:dyDescent="0.3">
      <c r="B26" s="27"/>
      <c r="C26" s="27"/>
      <c r="D26" s="27"/>
      <c r="E26" s="27"/>
      <c r="F26" s="27"/>
      <c r="G26" s="28"/>
      <c r="H26" s="27"/>
    </row>
    <row r="27" spans="2:8" ht="15.75" customHeight="1" x14ac:dyDescent="0.3">
      <c r="B27" s="29"/>
      <c r="C27" s="29"/>
      <c r="D27" s="29"/>
      <c r="E27" s="29"/>
      <c r="F27" s="29"/>
      <c r="G27" s="30"/>
      <c r="H27" s="29"/>
    </row>
    <row r="28" spans="2:8" ht="15.75" customHeight="1" x14ac:dyDescent="0.3">
      <c r="B28" s="27"/>
      <c r="C28" s="27"/>
      <c r="D28" s="27"/>
      <c r="E28" s="27"/>
      <c r="F28" s="27"/>
      <c r="G28" s="28"/>
      <c r="H28" s="27"/>
    </row>
    <row r="29" spans="2:8" ht="15.75" customHeight="1" x14ac:dyDescent="0.3">
      <c r="B29" s="29"/>
      <c r="C29" s="29"/>
      <c r="D29" s="29"/>
      <c r="E29" s="29"/>
      <c r="F29" s="29"/>
      <c r="G29" s="30"/>
      <c r="H29" s="29"/>
    </row>
    <row r="30" spans="2:8" ht="15.75" customHeight="1" x14ac:dyDescent="0.3">
      <c r="B30" s="27"/>
      <c r="C30" s="27"/>
      <c r="D30" s="27"/>
      <c r="E30" s="27"/>
      <c r="F30" s="27"/>
      <c r="G30" s="28"/>
      <c r="H30" s="27"/>
    </row>
    <row r="31" spans="2:8" ht="15.75" customHeight="1" x14ac:dyDescent="0.3">
      <c r="B31" s="29"/>
      <c r="C31" s="29"/>
      <c r="D31" s="29"/>
      <c r="E31" s="29"/>
      <c r="F31" s="29"/>
      <c r="G31" s="30"/>
      <c r="H31" s="29"/>
    </row>
    <row r="32" spans="2:8" ht="15.75" customHeight="1" x14ac:dyDescent="0.3">
      <c r="B32" s="27"/>
      <c r="C32" s="27"/>
      <c r="D32" s="27"/>
      <c r="E32" s="27"/>
      <c r="F32" s="27"/>
      <c r="G32" s="28"/>
      <c r="H32" s="27"/>
    </row>
    <row r="33" spans="2:8" ht="15.75" customHeight="1" x14ac:dyDescent="0.3">
      <c r="B33" s="29"/>
      <c r="C33" s="29"/>
      <c r="D33" s="29"/>
      <c r="E33" s="29"/>
      <c r="F33" s="29"/>
      <c r="G33" s="30"/>
      <c r="H33" s="29"/>
    </row>
    <row r="34" spans="2:8" ht="15.75" customHeight="1" x14ac:dyDescent="0.3">
      <c r="B34" s="27"/>
      <c r="C34" s="27"/>
      <c r="D34" s="27"/>
      <c r="E34" s="27"/>
      <c r="F34" s="27"/>
      <c r="G34" s="28"/>
      <c r="H34" s="27"/>
    </row>
    <row r="35" spans="2:8" ht="15.75" customHeight="1" x14ac:dyDescent="0.3">
      <c r="B35" s="29"/>
      <c r="C35" s="29"/>
      <c r="D35" s="29"/>
      <c r="E35" s="29"/>
      <c r="F35" s="29"/>
      <c r="G35" s="30"/>
      <c r="H35" s="29"/>
    </row>
    <row r="36" spans="2:8" ht="15.75" customHeight="1" x14ac:dyDescent="0.3">
      <c r="B36" s="27"/>
      <c r="C36" s="27"/>
      <c r="D36" s="27"/>
      <c r="E36" s="27"/>
      <c r="F36" s="27"/>
      <c r="G36" s="28"/>
      <c r="H36" s="27"/>
    </row>
    <row r="37" spans="2:8" ht="15.75" customHeight="1" x14ac:dyDescent="0.3">
      <c r="B37" s="29"/>
      <c r="C37" s="29"/>
      <c r="D37" s="29"/>
      <c r="E37" s="29"/>
      <c r="F37" s="29"/>
      <c r="G37" s="30"/>
      <c r="H37" s="29"/>
    </row>
    <row r="38" spans="2:8" ht="15.75" customHeight="1" x14ac:dyDescent="0.3">
      <c r="B38" s="27"/>
      <c r="C38" s="27"/>
      <c r="D38" s="27"/>
      <c r="E38" s="27"/>
      <c r="F38" s="27"/>
      <c r="G38" s="28"/>
      <c r="H38" s="27"/>
    </row>
    <row r="39" spans="2:8" ht="15.75" customHeight="1" x14ac:dyDescent="0.3">
      <c r="B39" s="29"/>
      <c r="C39" s="29"/>
      <c r="D39" s="29"/>
      <c r="E39" s="29"/>
      <c r="F39" s="29"/>
      <c r="G39" s="30"/>
      <c r="H39" s="29"/>
    </row>
    <row r="40" spans="2:8" ht="15.75" customHeight="1" x14ac:dyDescent="0.3">
      <c r="B40" s="27"/>
      <c r="C40" s="27"/>
      <c r="D40" s="27"/>
      <c r="E40" s="27"/>
      <c r="F40" s="27"/>
      <c r="G40" s="28"/>
      <c r="H40" s="27"/>
    </row>
    <row r="41" spans="2:8" ht="15.75" customHeight="1" x14ac:dyDescent="0.3">
      <c r="B41" s="29"/>
      <c r="C41" s="29"/>
      <c r="D41" s="29"/>
      <c r="E41" s="29"/>
      <c r="F41" s="29"/>
      <c r="G41" s="30"/>
      <c r="H41" s="29"/>
    </row>
    <row r="42" spans="2:8" ht="15.75" customHeight="1" x14ac:dyDescent="0.3">
      <c r="B42" s="27"/>
      <c r="C42" s="27"/>
      <c r="D42" s="27"/>
      <c r="E42" s="27"/>
      <c r="F42" s="27"/>
      <c r="G42" s="28"/>
      <c r="H42" s="27"/>
    </row>
    <row r="43" spans="2:8" ht="15.75" customHeight="1" x14ac:dyDescent="0.3">
      <c r="B43" s="29"/>
      <c r="C43" s="29"/>
      <c r="D43" s="29"/>
      <c r="E43" s="29"/>
      <c r="F43" s="29"/>
      <c r="G43" s="30"/>
      <c r="H43" s="29"/>
    </row>
    <row r="44" spans="2:8" ht="15.75" customHeight="1" x14ac:dyDescent="0.3">
      <c r="B44" s="27"/>
      <c r="C44" s="27"/>
      <c r="D44" s="27"/>
      <c r="E44" s="27"/>
      <c r="F44" s="27"/>
      <c r="G44" s="28"/>
      <c r="H44" s="27"/>
    </row>
    <row r="45" spans="2:8" ht="15.75" customHeight="1" x14ac:dyDescent="0.3">
      <c r="B45" s="29"/>
      <c r="C45" s="29"/>
      <c r="D45" s="29"/>
      <c r="E45" s="29"/>
      <c r="F45" s="29"/>
      <c r="G45" s="30"/>
      <c r="H45" s="29"/>
    </row>
    <row r="46" spans="2:8" ht="15.75" customHeight="1" x14ac:dyDescent="0.3">
      <c r="B46" s="27"/>
      <c r="C46" s="27"/>
      <c r="D46" s="27"/>
      <c r="E46" s="27"/>
      <c r="F46" s="27"/>
      <c r="G46" s="28"/>
      <c r="H46" s="27"/>
    </row>
    <row r="47" spans="2:8" ht="15.75" customHeight="1" x14ac:dyDescent="0.3">
      <c r="B47" s="29"/>
      <c r="C47" s="29"/>
      <c r="D47" s="29"/>
      <c r="E47" s="29"/>
      <c r="F47" s="29"/>
      <c r="G47" s="30"/>
      <c r="H47" s="29"/>
    </row>
    <row r="48" spans="2:8" ht="15.75" customHeight="1" x14ac:dyDescent="0.3">
      <c r="B48" s="27"/>
      <c r="C48" s="27"/>
      <c r="D48" s="27"/>
      <c r="E48" s="27"/>
      <c r="F48" s="27"/>
      <c r="G48" s="28"/>
      <c r="H48" s="27"/>
    </row>
    <row r="49" spans="2:8" ht="15.75" customHeight="1" x14ac:dyDescent="0.3">
      <c r="B49" s="29"/>
      <c r="C49" s="29"/>
      <c r="D49" s="29"/>
      <c r="E49" s="29"/>
      <c r="F49" s="29"/>
      <c r="G49" s="30"/>
      <c r="H49" s="29"/>
    </row>
    <row r="50" spans="2:8" ht="15.75" customHeight="1" x14ac:dyDescent="0.3">
      <c r="B50" s="27"/>
      <c r="C50" s="27"/>
      <c r="D50" s="27"/>
      <c r="E50" s="27"/>
      <c r="F50" s="27"/>
      <c r="G50" s="28"/>
      <c r="H50" s="27"/>
    </row>
    <row r="51" spans="2:8" ht="15.75" customHeight="1" x14ac:dyDescent="0.3">
      <c r="B51" s="29"/>
      <c r="C51" s="29"/>
      <c r="D51" s="29"/>
      <c r="E51" s="29"/>
      <c r="F51" s="29"/>
      <c r="G51" s="30"/>
      <c r="H51" s="29"/>
    </row>
    <row r="52" spans="2:8" ht="15.75" customHeight="1" x14ac:dyDescent="0.3">
      <c r="B52" s="27"/>
      <c r="C52" s="27"/>
      <c r="D52" s="27"/>
      <c r="E52" s="27"/>
      <c r="F52" s="27"/>
      <c r="G52" s="28"/>
      <c r="H52" s="27"/>
    </row>
    <row r="53" spans="2:8" ht="15.75" customHeight="1" x14ac:dyDescent="0.3">
      <c r="B53" s="29"/>
      <c r="C53" s="29"/>
      <c r="D53" s="29"/>
      <c r="E53" s="29"/>
      <c r="F53" s="29"/>
      <c r="G53" s="30"/>
      <c r="H53" s="29"/>
    </row>
    <row r="54" spans="2:8" ht="15.75" customHeight="1" x14ac:dyDescent="0.3">
      <c r="B54" s="27"/>
      <c r="C54" s="27"/>
      <c r="D54" s="27"/>
      <c r="E54" s="27"/>
      <c r="F54" s="27"/>
      <c r="G54" s="28"/>
      <c r="H54" s="27"/>
    </row>
    <row r="55" spans="2:8" ht="15.75" customHeight="1" x14ac:dyDescent="0.3">
      <c r="B55" s="29"/>
      <c r="C55" s="29"/>
      <c r="D55" s="29"/>
      <c r="E55" s="29"/>
      <c r="F55" s="29"/>
      <c r="G55" s="30"/>
      <c r="H55" s="29"/>
    </row>
    <row r="56" spans="2:8" ht="15.75" customHeight="1" x14ac:dyDescent="0.3">
      <c r="B56" s="27"/>
      <c r="C56" s="27"/>
      <c r="D56" s="27"/>
      <c r="E56" s="27"/>
      <c r="F56" s="27"/>
      <c r="G56" s="28"/>
      <c r="H56" s="27"/>
    </row>
    <row r="57" spans="2:8" ht="15.75" customHeight="1" x14ac:dyDescent="0.3">
      <c r="B57" s="29"/>
      <c r="C57" s="29"/>
      <c r="D57" s="29"/>
      <c r="E57" s="29"/>
      <c r="F57" s="29"/>
      <c r="G57" s="30"/>
      <c r="H57" s="29"/>
    </row>
    <row r="58" spans="2:8" ht="15.75" customHeight="1" x14ac:dyDescent="0.3">
      <c r="B58" s="27"/>
      <c r="C58" s="27"/>
      <c r="D58" s="27"/>
      <c r="E58" s="27"/>
      <c r="F58" s="27"/>
      <c r="G58" s="28"/>
      <c r="H58" s="27"/>
    </row>
    <row r="59" spans="2:8" ht="15.75" customHeight="1" x14ac:dyDescent="0.3">
      <c r="B59" s="29"/>
      <c r="C59" s="29"/>
      <c r="D59" s="29"/>
      <c r="E59" s="29"/>
      <c r="F59" s="29"/>
      <c r="G59" s="30"/>
      <c r="H59" s="29"/>
    </row>
    <row r="60" spans="2:8" ht="15.75" customHeight="1" x14ac:dyDescent="0.3">
      <c r="B60" s="27"/>
      <c r="C60" s="27"/>
      <c r="D60" s="27"/>
      <c r="E60" s="27"/>
      <c r="F60" s="27"/>
      <c r="G60" s="28"/>
      <c r="H60" s="27"/>
    </row>
    <row r="61" spans="2:8" ht="15.75" customHeight="1" x14ac:dyDescent="0.3">
      <c r="B61" s="29"/>
      <c r="C61" s="29"/>
      <c r="D61" s="29"/>
      <c r="E61" s="29"/>
      <c r="F61" s="29"/>
      <c r="G61" s="30"/>
      <c r="H61" s="29"/>
    </row>
    <row r="62" spans="2:8" ht="15.75" customHeight="1" x14ac:dyDescent="0.3">
      <c r="B62" s="27"/>
      <c r="C62" s="27"/>
      <c r="D62" s="27"/>
      <c r="E62" s="27"/>
      <c r="F62" s="27"/>
      <c r="G62" s="28"/>
      <c r="H62" s="27"/>
    </row>
    <row r="63" spans="2:8" ht="15.75" customHeight="1" x14ac:dyDescent="0.3">
      <c r="B63" s="29"/>
      <c r="C63" s="29"/>
      <c r="D63" s="29"/>
      <c r="E63" s="29"/>
      <c r="F63" s="29"/>
      <c r="G63" s="30"/>
      <c r="H63" s="29"/>
    </row>
    <row r="64" spans="2:8" ht="15.75" customHeight="1" x14ac:dyDescent="0.3">
      <c r="B64" s="27"/>
      <c r="C64" s="27"/>
      <c r="D64" s="27"/>
      <c r="E64" s="27"/>
      <c r="F64" s="27"/>
      <c r="G64" s="28"/>
      <c r="H64" s="27"/>
    </row>
    <row r="65" spans="2:8" ht="15.75" customHeight="1" x14ac:dyDescent="0.3">
      <c r="B65" s="29"/>
      <c r="C65" s="29"/>
      <c r="D65" s="29"/>
      <c r="E65" s="29"/>
      <c r="F65" s="29"/>
      <c r="G65" s="30"/>
      <c r="H65" s="29"/>
    </row>
    <row r="66" spans="2:8" ht="15.75" customHeight="1" x14ac:dyDescent="0.3">
      <c r="B66" s="27"/>
      <c r="C66" s="27"/>
      <c r="D66" s="27"/>
      <c r="E66" s="27"/>
      <c r="F66" s="27"/>
      <c r="G66" s="28"/>
      <c r="H66" s="27"/>
    </row>
    <row r="67" spans="2:8" ht="15.75" customHeight="1" x14ac:dyDescent="0.3">
      <c r="B67" s="29"/>
      <c r="C67" s="29"/>
      <c r="D67" s="29"/>
      <c r="E67" s="29"/>
      <c r="F67" s="29"/>
      <c r="G67" s="30"/>
      <c r="H67" s="29"/>
    </row>
    <row r="68" spans="2:8" ht="15.75" customHeight="1" x14ac:dyDescent="0.3">
      <c r="B68" s="27"/>
      <c r="C68" s="27"/>
      <c r="D68" s="27"/>
      <c r="E68" s="27"/>
      <c r="F68" s="27"/>
      <c r="G68" s="28"/>
      <c r="H68" s="27"/>
    </row>
    <row r="69" spans="2:8" ht="15.75" customHeight="1" x14ac:dyDescent="0.3">
      <c r="B69" s="29"/>
      <c r="C69" s="29"/>
      <c r="D69" s="29"/>
      <c r="E69" s="29"/>
      <c r="F69" s="29"/>
      <c r="G69" s="30"/>
      <c r="H69" s="29"/>
    </row>
    <row r="70" spans="2:8" ht="15.75" customHeight="1" x14ac:dyDescent="0.3">
      <c r="C70" s="31"/>
      <c r="E70" s="31"/>
    </row>
    <row r="71" spans="2:8" ht="15.75" customHeight="1" x14ac:dyDescent="0.3">
      <c r="C71" s="31"/>
      <c r="E71" s="31"/>
    </row>
    <row r="72" spans="2:8" ht="15.75" customHeight="1" x14ac:dyDescent="0.3">
      <c r="C72" s="31"/>
      <c r="E72" s="31"/>
    </row>
    <row r="73" spans="2:8" ht="15.75" customHeight="1" x14ac:dyDescent="0.3">
      <c r="C73" s="31"/>
      <c r="E73" s="31"/>
    </row>
    <row r="74" spans="2:8" ht="15.75" customHeight="1" x14ac:dyDescent="0.3">
      <c r="C74" s="31"/>
      <c r="E74" s="31"/>
    </row>
    <row r="75" spans="2:8" ht="15.75" customHeight="1" x14ac:dyDescent="0.3">
      <c r="C75" s="31"/>
      <c r="E75" s="31"/>
    </row>
    <row r="76" spans="2:8" ht="15.75" customHeight="1" x14ac:dyDescent="0.3">
      <c r="C76" s="31"/>
      <c r="E76" s="31"/>
    </row>
    <row r="77" spans="2:8" ht="15.75" customHeight="1" x14ac:dyDescent="0.3">
      <c r="C77" s="31"/>
      <c r="E77" s="31"/>
    </row>
    <row r="78" spans="2:8" ht="15.75" customHeight="1" x14ac:dyDescent="0.3">
      <c r="C78" s="31"/>
      <c r="E78" s="31"/>
    </row>
    <row r="79" spans="2:8" ht="15.75" customHeight="1" x14ac:dyDescent="0.3">
      <c r="C79" s="31"/>
      <c r="E79" s="31"/>
    </row>
    <row r="80" spans="2:8" ht="15.75" customHeight="1" x14ac:dyDescent="0.3">
      <c r="C80" s="31"/>
      <c r="E80" s="31"/>
    </row>
    <row r="81" spans="3:5" ht="15.75" customHeight="1" x14ac:dyDescent="0.3">
      <c r="C81" s="31"/>
      <c r="E81" s="31"/>
    </row>
    <row r="82" spans="3:5" ht="15.75" customHeight="1" x14ac:dyDescent="0.3">
      <c r="C82" s="31"/>
      <c r="E82" s="31"/>
    </row>
    <row r="83" spans="3:5" ht="15.75" customHeight="1" x14ac:dyDescent="0.3">
      <c r="C83" s="31"/>
      <c r="E83" s="31"/>
    </row>
    <row r="84" spans="3:5" ht="15.75" customHeight="1" x14ac:dyDescent="0.3">
      <c r="C84" s="31"/>
      <c r="E84" s="31"/>
    </row>
    <row r="85" spans="3:5" ht="15.75" customHeight="1" x14ac:dyDescent="0.3">
      <c r="C85" s="31"/>
      <c r="E85" s="31"/>
    </row>
    <row r="86" spans="3:5" ht="15.75" customHeight="1" x14ac:dyDescent="0.3">
      <c r="C86" s="31"/>
      <c r="E86" s="31"/>
    </row>
    <row r="87" spans="3:5" ht="15.75" customHeight="1" x14ac:dyDescent="0.3">
      <c r="C87" s="31"/>
      <c r="E87" s="31"/>
    </row>
    <row r="88" spans="3:5" ht="15.75" customHeight="1" x14ac:dyDescent="0.3">
      <c r="C88" s="31"/>
      <c r="E88" s="31"/>
    </row>
    <row r="89" spans="3:5" ht="15.75" customHeight="1" x14ac:dyDescent="0.3">
      <c r="C89" s="31"/>
      <c r="E89" s="31"/>
    </row>
    <row r="90" spans="3:5" ht="15.75" customHeight="1" x14ac:dyDescent="0.3">
      <c r="C90" s="31"/>
      <c r="E90" s="31"/>
    </row>
    <row r="91" spans="3:5" ht="15.75" customHeight="1" x14ac:dyDescent="0.3">
      <c r="C91" s="31"/>
      <c r="E91" s="31"/>
    </row>
    <row r="92" spans="3:5" ht="15.75" customHeight="1" x14ac:dyDescent="0.3">
      <c r="C92" s="31"/>
      <c r="E92" s="31"/>
    </row>
    <row r="93" spans="3:5" ht="15.75" customHeight="1" x14ac:dyDescent="0.3">
      <c r="C93" s="31"/>
      <c r="E93" s="31"/>
    </row>
    <row r="94" spans="3:5" ht="15.75" customHeight="1" x14ac:dyDescent="0.3">
      <c r="C94" s="31"/>
      <c r="E94" s="31"/>
    </row>
    <row r="95" spans="3:5" ht="15.75" customHeight="1" x14ac:dyDescent="0.3">
      <c r="C95" s="31"/>
      <c r="E95" s="31"/>
    </row>
    <row r="96" spans="3:5" ht="15.75" customHeight="1" x14ac:dyDescent="0.3">
      <c r="C96" s="31"/>
      <c r="E96" s="31"/>
    </row>
    <row r="97" spans="3:5" ht="15.75" customHeight="1" x14ac:dyDescent="0.3">
      <c r="C97" s="31"/>
      <c r="E97" s="31"/>
    </row>
    <row r="98" spans="3:5" ht="15.75" customHeight="1" x14ac:dyDescent="0.3">
      <c r="C98" s="31"/>
      <c r="E98" s="31"/>
    </row>
    <row r="99" spans="3:5" ht="15.75" customHeight="1" x14ac:dyDescent="0.3">
      <c r="C99" s="31"/>
      <c r="E99" s="31"/>
    </row>
    <row r="100" spans="3:5" ht="15.75" customHeight="1" x14ac:dyDescent="0.3">
      <c r="C100" s="31"/>
      <c r="E100" s="31"/>
    </row>
    <row r="101" spans="3:5" ht="15.75" customHeight="1" x14ac:dyDescent="0.3">
      <c r="C101" s="31"/>
      <c r="E101" s="31"/>
    </row>
    <row r="102" spans="3:5" ht="15.75" customHeight="1" x14ac:dyDescent="0.3">
      <c r="C102" s="31"/>
      <c r="E102" s="31"/>
    </row>
    <row r="103" spans="3:5" ht="15.75" customHeight="1" x14ac:dyDescent="0.3">
      <c r="C103" s="31"/>
      <c r="E103" s="31"/>
    </row>
    <row r="104" spans="3:5" ht="15.75" customHeight="1" x14ac:dyDescent="0.3">
      <c r="C104" s="31"/>
      <c r="E104" s="31"/>
    </row>
    <row r="105" spans="3:5" ht="15.75" customHeight="1" x14ac:dyDescent="0.3">
      <c r="C105" s="31"/>
      <c r="E105" s="31"/>
    </row>
    <row r="106" spans="3:5" ht="15.75" customHeight="1" x14ac:dyDescent="0.3">
      <c r="C106" s="31"/>
      <c r="E106" s="31"/>
    </row>
    <row r="107" spans="3:5" ht="15.75" customHeight="1" x14ac:dyDescent="0.3">
      <c r="C107" s="31"/>
      <c r="E107" s="31"/>
    </row>
    <row r="108" spans="3:5" ht="15.75" customHeight="1" x14ac:dyDescent="0.3">
      <c r="C108" s="31"/>
      <c r="E108" s="31"/>
    </row>
    <row r="109" spans="3:5" ht="15.75" customHeight="1" x14ac:dyDescent="0.3">
      <c r="C109" s="31"/>
      <c r="E109" s="31"/>
    </row>
    <row r="110" spans="3:5" ht="15.75" customHeight="1" x14ac:dyDescent="0.3">
      <c r="C110" s="31"/>
      <c r="E110" s="31"/>
    </row>
    <row r="111" spans="3:5" ht="15.75" customHeight="1" x14ac:dyDescent="0.3">
      <c r="C111" s="31"/>
      <c r="E111" s="31"/>
    </row>
    <row r="112" spans="3:5" ht="15.75" customHeight="1" x14ac:dyDescent="0.3">
      <c r="C112" s="31"/>
      <c r="E112" s="31"/>
    </row>
    <row r="113" spans="3:5" ht="15.75" customHeight="1" x14ac:dyDescent="0.3">
      <c r="C113" s="31"/>
      <c r="E113" s="31"/>
    </row>
    <row r="114" spans="3:5" ht="15.75" customHeight="1" x14ac:dyDescent="0.3">
      <c r="C114" s="31"/>
      <c r="E114" s="31"/>
    </row>
    <row r="115" spans="3:5" ht="15.75" customHeight="1" x14ac:dyDescent="0.3">
      <c r="C115" s="31"/>
      <c r="E115" s="31"/>
    </row>
    <row r="116" spans="3:5" ht="15.75" customHeight="1" x14ac:dyDescent="0.3">
      <c r="C116" s="31"/>
      <c r="E116" s="31"/>
    </row>
    <row r="117" spans="3:5" ht="15.75" customHeight="1" x14ac:dyDescent="0.3">
      <c r="C117" s="31"/>
      <c r="E117" s="31"/>
    </row>
    <row r="118" spans="3:5" ht="15.75" customHeight="1" x14ac:dyDescent="0.3">
      <c r="C118" s="31"/>
      <c r="E118" s="31"/>
    </row>
    <row r="119" spans="3:5" ht="15.75" customHeight="1" x14ac:dyDescent="0.3">
      <c r="C119" s="31"/>
      <c r="E119" s="31"/>
    </row>
    <row r="120" spans="3:5" ht="15.75" customHeight="1" x14ac:dyDescent="0.3">
      <c r="C120" s="31"/>
      <c r="E120" s="31"/>
    </row>
    <row r="121" spans="3:5" ht="15.75" customHeight="1" x14ac:dyDescent="0.3">
      <c r="C121" s="31"/>
      <c r="E121" s="31"/>
    </row>
    <row r="122" spans="3:5" ht="15.75" customHeight="1" x14ac:dyDescent="0.3">
      <c r="C122" s="31"/>
      <c r="E122" s="31"/>
    </row>
    <row r="123" spans="3:5" ht="15.75" customHeight="1" x14ac:dyDescent="0.3">
      <c r="C123" s="31"/>
      <c r="E123" s="31"/>
    </row>
    <row r="124" spans="3:5" ht="15.75" customHeight="1" x14ac:dyDescent="0.3">
      <c r="C124" s="31"/>
      <c r="E124" s="31"/>
    </row>
    <row r="125" spans="3:5" ht="15.75" customHeight="1" x14ac:dyDescent="0.3">
      <c r="C125" s="31"/>
      <c r="E125" s="31"/>
    </row>
    <row r="126" spans="3:5" ht="15.75" customHeight="1" x14ac:dyDescent="0.3">
      <c r="C126" s="31"/>
      <c r="E126" s="31"/>
    </row>
    <row r="127" spans="3:5" ht="15.75" customHeight="1" x14ac:dyDescent="0.3">
      <c r="C127" s="31"/>
      <c r="E127" s="31"/>
    </row>
    <row r="128" spans="3:5" ht="15.75" customHeight="1" x14ac:dyDescent="0.3">
      <c r="C128" s="31"/>
      <c r="E128" s="31"/>
    </row>
    <row r="129" spans="3:5" ht="15.75" customHeight="1" x14ac:dyDescent="0.3">
      <c r="C129" s="31"/>
      <c r="E129" s="31"/>
    </row>
    <row r="130" spans="3:5" ht="15.75" customHeight="1" x14ac:dyDescent="0.3">
      <c r="C130" s="31"/>
      <c r="E130" s="31"/>
    </row>
    <row r="131" spans="3:5" ht="15.75" customHeight="1" x14ac:dyDescent="0.3">
      <c r="C131" s="31"/>
      <c r="E131" s="31"/>
    </row>
    <row r="132" spans="3:5" ht="15.75" customHeight="1" x14ac:dyDescent="0.3">
      <c r="C132" s="31"/>
      <c r="E132" s="31"/>
    </row>
    <row r="133" spans="3:5" ht="15.75" customHeight="1" x14ac:dyDescent="0.3">
      <c r="C133" s="31"/>
      <c r="E133" s="31"/>
    </row>
    <row r="134" spans="3:5" ht="15.75" customHeight="1" x14ac:dyDescent="0.3">
      <c r="C134" s="31"/>
      <c r="E134" s="31"/>
    </row>
    <row r="135" spans="3:5" ht="15.75" customHeight="1" x14ac:dyDescent="0.3">
      <c r="C135" s="31"/>
      <c r="E135" s="31"/>
    </row>
    <row r="136" spans="3:5" ht="15.75" customHeight="1" x14ac:dyDescent="0.3">
      <c r="C136" s="31"/>
      <c r="E136" s="31"/>
    </row>
    <row r="137" spans="3:5" ht="15.75" customHeight="1" x14ac:dyDescent="0.3">
      <c r="C137" s="31"/>
      <c r="E137" s="31"/>
    </row>
    <row r="138" spans="3:5" ht="15.75" customHeight="1" x14ac:dyDescent="0.3">
      <c r="C138" s="31"/>
      <c r="E138" s="31"/>
    </row>
    <row r="139" spans="3:5" ht="15.75" customHeight="1" x14ac:dyDescent="0.3">
      <c r="C139" s="31"/>
      <c r="E139" s="31"/>
    </row>
    <row r="140" spans="3:5" ht="15.75" customHeight="1" x14ac:dyDescent="0.3">
      <c r="C140" s="31"/>
      <c r="E140" s="31"/>
    </row>
    <row r="141" spans="3:5" ht="15.75" customHeight="1" x14ac:dyDescent="0.3">
      <c r="C141" s="31"/>
      <c r="E141" s="31"/>
    </row>
    <row r="142" spans="3:5" ht="15.75" customHeight="1" x14ac:dyDescent="0.3">
      <c r="C142" s="31"/>
      <c r="E142" s="31"/>
    </row>
    <row r="143" spans="3:5" ht="15.75" customHeight="1" x14ac:dyDescent="0.3">
      <c r="C143" s="31"/>
      <c r="E143" s="31"/>
    </row>
    <row r="144" spans="3:5" ht="15.75" customHeight="1" x14ac:dyDescent="0.3">
      <c r="C144" s="31"/>
      <c r="E144" s="31"/>
    </row>
    <row r="145" spans="3:5" ht="15.75" customHeight="1" x14ac:dyDescent="0.3">
      <c r="C145" s="31"/>
      <c r="E145" s="31"/>
    </row>
    <row r="146" spans="3:5" ht="15.75" customHeight="1" x14ac:dyDescent="0.3">
      <c r="C146" s="31"/>
      <c r="E146" s="31"/>
    </row>
    <row r="147" spans="3:5" ht="15.75" customHeight="1" x14ac:dyDescent="0.3">
      <c r="C147" s="31"/>
      <c r="E147" s="31"/>
    </row>
    <row r="148" spans="3:5" ht="15.75" customHeight="1" x14ac:dyDescent="0.3">
      <c r="C148" s="31"/>
      <c r="E148" s="31"/>
    </row>
    <row r="149" spans="3:5" ht="15.75" customHeight="1" x14ac:dyDescent="0.3">
      <c r="C149" s="31"/>
      <c r="E149" s="31"/>
    </row>
    <row r="150" spans="3:5" ht="15.75" customHeight="1" x14ac:dyDescent="0.3">
      <c r="C150" s="31"/>
      <c r="E150" s="31"/>
    </row>
    <row r="151" spans="3:5" ht="15.75" customHeight="1" x14ac:dyDescent="0.3">
      <c r="C151" s="31"/>
      <c r="E151" s="31"/>
    </row>
    <row r="152" spans="3:5" ht="15.75" customHeight="1" x14ac:dyDescent="0.3">
      <c r="C152" s="31"/>
      <c r="E152" s="31"/>
    </row>
    <row r="153" spans="3:5" ht="15.75" customHeight="1" x14ac:dyDescent="0.3">
      <c r="C153" s="31"/>
      <c r="E153" s="31"/>
    </row>
    <row r="154" spans="3:5" ht="15.75" customHeight="1" x14ac:dyDescent="0.3">
      <c r="C154" s="31"/>
      <c r="E154" s="31"/>
    </row>
    <row r="155" spans="3:5" ht="15.75" customHeight="1" x14ac:dyDescent="0.3">
      <c r="C155" s="31"/>
      <c r="E155" s="31"/>
    </row>
    <row r="156" spans="3:5" ht="15.75" customHeight="1" x14ac:dyDescent="0.3">
      <c r="C156" s="31"/>
      <c r="E156" s="31"/>
    </row>
    <row r="157" spans="3:5" ht="15.75" customHeight="1" x14ac:dyDescent="0.3">
      <c r="C157" s="31"/>
      <c r="E157" s="31"/>
    </row>
    <row r="158" spans="3:5" ht="15.75" customHeight="1" x14ac:dyDescent="0.3">
      <c r="C158" s="31"/>
      <c r="E158" s="31"/>
    </row>
    <row r="159" spans="3:5" ht="15.75" customHeight="1" x14ac:dyDescent="0.3">
      <c r="C159" s="31"/>
      <c r="E159" s="31"/>
    </row>
    <row r="160" spans="3:5" ht="15.75" customHeight="1" x14ac:dyDescent="0.3">
      <c r="C160" s="31"/>
      <c r="E160" s="31"/>
    </row>
    <row r="161" spans="3:5" ht="15.75" customHeight="1" x14ac:dyDescent="0.3">
      <c r="C161" s="31"/>
      <c r="E161" s="31"/>
    </row>
    <row r="162" spans="3:5" ht="15.75" customHeight="1" x14ac:dyDescent="0.3">
      <c r="C162" s="31"/>
      <c r="E162" s="31"/>
    </row>
    <row r="163" spans="3:5" ht="15.75" customHeight="1" x14ac:dyDescent="0.3">
      <c r="C163" s="31"/>
      <c r="E163" s="31"/>
    </row>
    <row r="164" spans="3:5" ht="15.75" customHeight="1" x14ac:dyDescent="0.3">
      <c r="C164" s="31"/>
      <c r="E164" s="31"/>
    </row>
    <row r="165" spans="3:5" ht="15.75" customHeight="1" x14ac:dyDescent="0.3">
      <c r="C165" s="31"/>
      <c r="E165" s="31"/>
    </row>
    <row r="166" spans="3:5" ht="15.75" customHeight="1" x14ac:dyDescent="0.3">
      <c r="C166" s="31"/>
      <c r="E166" s="31"/>
    </row>
    <row r="167" spans="3:5" ht="15.75" customHeight="1" x14ac:dyDescent="0.3">
      <c r="C167" s="31"/>
      <c r="E167" s="31"/>
    </row>
    <row r="168" spans="3:5" ht="15.75" customHeight="1" x14ac:dyDescent="0.3">
      <c r="C168" s="31"/>
      <c r="E168" s="31"/>
    </row>
    <row r="169" spans="3:5" ht="15.75" customHeight="1" x14ac:dyDescent="0.3">
      <c r="C169" s="31"/>
      <c r="E169" s="31"/>
    </row>
    <row r="170" spans="3:5" ht="15.75" customHeight="1" x14ac:dyDescent="0.3">
      <c r="C170" s="31"/>
      <c r="E170" s="31"/>
    </row>
    <row r="171" spans="3:5" ht="15.75" customHeight="1" x14ac:dyDescent="0.3">
      <c r="C171" s="31"/>
      <c r="E171" s="31"/>
    </row>
    <row r="172" spans="3:5" ht="15.75" customHeight="1" x14ac:dyDescent="0.3">
      <c r="C172" s="31"/>
      <c r="E172" s="31"/>
    </row>
    <row r="173" spans="3:5" ht="15.75" customHeight="1" x14ac:dyDescent="0.3">
      <c r="C173" s="31"/>
      <c r="E173" s="31"/>
    </row>
    <row r="174" spans="3:5" ht="15.75" customHeight="1" x14ac:dyDescent="0.3">
      <c r="C174" s="31"/>
      <c r="E174" s="31"/>
    </row>
    <row r="175" spans="3:5" ht="15.75" customHeight="1" x14ac:dyDescent="0.3">
      <c r="C175" s="31"/>
      <c r="E175" s="31"/>
    </row>
    <row r="176" spans="3:5" ht="15.75" customHeight="1" x14ac:dyDescent="0.3">
      <c r="C176" s="31"/>
      <c r="E176" s="31"/>
    </row>
    <row r="177" spans="3:5" ht="15.75" customHeight="1" x14ac:dyDescent="0.3">
      <c r="C177" s="31"/>
      <c r="E177" s="31"/>
    </row>
    <row r="178" spans="3:5" ht="15.75" customHeight="1" x14ac:dyDescent="0.3">
      <c r="C178" s="31"/>
      <c r="E178" s="31"/>
    </row>
    <row r="179" spans="3:5" ht="15.75" customHeight="1" x14ac:dyDescent="0.3">
      <c r="C179" s="31"/>
      <c r="E179" s="31"/>
    </row>
    <row r="180" spans="3:5" ht="15.75" customHeight="1" x14ac:dyDescent="0.3">
      <c r="C180" s="31"/>
      <c r="E180" s="31"/>
    </row>
    <row r="181" spans="3:5" ht="15.75" customHeight="1" x14ac:dyDescent="0.3">
      <c r="C181" s="31"/>
      <c r="E181" s="31"/>
    </row>
    <row r="182" spans="3:5" ht="15.75" customHeight="1" x14ac:dyDescent="0.3">
      <c r="C182" s="31"/>
      <c r="E182" s="31"/>
    </row>
    <row r="183" spans="3:5" ht="15.75" customHeight="1" x14ac:dyDescent="0.3">
      <c r="C183" s="31"/>
      <c r="E183" s="31"/>
    </row>
    <row r="184" spans="3:5" ht="15.75" customHeight="1" x14ac:dyDescent="0.3">
      <c r="C184" s="31"/>
      <c r="E184" s="31"/>
    </row>
    <row r="185" spans="3:5" ht="15.75" customHeight="1" x14ac:dyDescent="0.3">
      <c r="C185" s="31"/>
      <c r="E185" s="31"/>
    </row>
    <row r="186" spans="3:5" ht="15.75" customHeight="1" x14ac:dyDescent="0.3">
      <c r="C186" s="31"/>
      <c r="E186" s="31"/>
    </row>
    <row r="187" spans="3:5" ht="15.75" customHeight="1" x14ac:dyDescent="0.3">
      <c r="C187" s="31"/>
      <c r="E187" s="31"/>
    </row>
    <row r="188" spans="3:5" ht="15.75" customHeight="1" x14ac:dyDescent="0.3">
      <c r="C188" s="31"/>
      <c r="E188" s="31"/>
    </row>
    <row r="189" spans="3:5" ht="15.75" customHeight="1" x14ac:dyDescent="0.3">
      <c r="C189" s="31"/>
      <c r="E189" s="31"/>
    </row>
    <row r="190" spans="3:5" ht="15.75" customHeight="1" x14ac:dyDescent="0.3">
      <c r="C190" s="31"/>
      <c r="E190" s="31"/>
    </row>
    <row r="191" spans="3:5" ht="15.75" customHeight="1" x14ac:dyDescent="0.3">
      <c r="C191" s="31"/>
      <c r="E191" s="31"/>
    </row>
    <row r="192" spans="3:5" ht="15.75" customHeight="1" x14ac:dyDescent="0.3">
      <c r="C192" s="31"/>
      <c r="E192" s="31"/>
    </row>
    <row r="193" spans="3:5" ht="15.75" customHeight="1" x14ac:dyDescent="0.3">
      <c r="C193" s="31"/>
      <c r="E193" s="31"/>
    </row>
    <row r="194" spans="3:5" ht="15.75" customHeight="1" x14ac:dyDescent="0.3">
      <c r="C194" s="31"/>
      <c r="E194" s="31"/>
    </row>
    <row r="195" spans="3:5" ht="15.75" customHeight="1" x14ac:dyDescent="0.3">
      <c r="C195" s="31"/>
      <c r="E195" s="31"/>
    </row>
    <row r="196" spans="3:5" ht="15.75" customHeight="1" x14ac:dyDescent="0.3">
      <c r="C196" s="31"/>
      <c r="E196" s="31"/>
    </row>
    <row r="197" spans="3:5" ht="15.75" customHeight="1" x14ac:dyDescent="0.3">
      <c r="C197" s="31"/>
      <c r="E197" s="31"/>
    </row>
    <row r="198" spans="3:5" ht="15.75" customHeight="1" x14ac:dyDescent="0.3">
      <c r="C198" s="31"/>
      <c r="E198" s="31"/>
    </row>
    <row r="199" spans="3:5" ht="15.75" customHeight="1" x14ac:dyDescent="0.3">
      <c r="C199" s="31"/>
      <c r="E199" s="31"/>
    </row>
    <row r="200" spans="3:5" ht="15.75" customHeight="1" x14ac:dyDescent="0.3">
      <c r="C200" s="31"/>
      <c r="E200" s="31"/>
    </row>
    <row r="201" spans="3:5" ht="15.75" customHeight="1" x14ac:dyDescent="0.3">
      <c r="C201" s="31"/>
      <c r="E201" s="31"/>
    </row>
    <row r="202" spans="3:5" ht="15.75" customHeight="1" x14ac:dyDescent="0.3">
      <c r="C202" s="31"/>
      <c r="E202" s="31"/>
    </row>
    <row r="203" spans="3:5" ht="15.75" customHeight="1" x14ac:dyDescent="0.3">
      <c r="C203" s="31"/>
      <c r="E203" s="31"/>
    </row>
    <row r="204" spans="3:5" ht="15.75" customHeight="1" x14ac:dyDescent="0.3">
      <c r="C204" s="31"/>
      <c r="E204" s="31"/>
    </row>
    <row r="205" spans="3:5" ht="15.75" customHeight="1" x14ac:dyDescent="0.3">
      <c r="C205" s="31"/>
      <c r="E205" s="31"/>
    </row>
    <row r="206" spans="3:5" ht="15.75" customHeight="1" x14ac:dyDescent="0.3">
      <c r="C206" s="31"/>
      <c r="E206" s="31"/>
    </row>
    <row r="207" spans="3:5" ht="15.75" customHeight="1" x14ac:dyDescent="0.3">
      <c r="C207" s="31"/>
      <c r="E207" s="31"/>
    </row>
    <row r="208" spans="3:5" ht="15.75" customHeight="1" x14ac:dyDescent="0.3">
      <c r="C208" s="31"/>
      <c r="E208" s="31"/>
    </row>
    <row r="209" spans="3:5" ht="15.75" customHeight="1" x14ac:dyDescent="0.3">
      <c r="C209" s="31"/>
      <c r="E209" s="31"/>
    </row>
    <row r="210" spans="3:5" ht="15.75" customHeight="1" x14ac:dyDescent="0.3">
      <c r="C210" s="31"/>
      <c r="E210" s="31"/>
    </row>
    <row r="211" spans="3:5" ht="15.75" customHeight="1" x14ac:dyDescent="0.3">
      <c r="C211" s="31"/>
      <c r="E211" s="31"/>
    </row>
    <row r="212" spans="3:5" ht="15.75" customHeight="1" x14ac:dyDescent="0.3">
      <c r="C212" s="31"/>
      <c r="E212" s="31"/>
    </row>
    <row r="213" spans="3:5" ht="15.75" customHeight="1" x14ac:dyDescent="0.3">
      <c r="C213" s="31"/>
      <c r="E213" s="31"/>
    </row>
    <row r="214" spans="3:5" ht="15.75" customHeight="1" x14ac:dyDescent="0.3">
      <c r="C214" s="31"/>
      <c r="E214" s="31"/>
    </row>
    <row r="215" spans="3:5" ht="15.75" customHeight="1" x14ac:dyDescent="0.3">
      <c r="C215" s="31"/>
      <c r="E215" s="31"/>
    </row>
    <row r="216" spans="3:5" ht="15.75" customHeight="1" x14ac:dyDescent="0.3">
      <c r="C216" s="31"/>
      <c r="E216" s="31"/>
    </row>
    <row r="217" spans="3:5" ht="15.75" customHeight="1" x14ac:dyDescent="0.3">
      <c r="C217" s="31"/>
      <c r="E217" s="31"/>
    </row>
    <row r="218" spans="3:5" ht="15.75" customHeight="1" x14ac:dyDescent="0.3">
      <c r="C218" s="31"/>
      <c r="E218" s="31"/>
    </row>
    <row r="219" spans="3:5" ht="15.75" customHeight="1" x14ac:dyDescent="0.3">
      <c r="C219" s="31"/>
      <c r="E219" s="31"/>
    </row>
    <row r="220" spans="3:5" ht="15.75" customHeight="1" x14ac:dyDescent="0.3">
      <c r="C220" s="31"/>
      <c r="E220" s="31"/>
    </row>
    <row r="221" spans="3:5" ht="15.75" customHeight="1" x14ac:dyDescent="0.3">
      <c r="C221" s="31"/>
      <c r="E221" s="31"/>
    </row>
    <row r="222" spans="3:5" ht="15.75" customHeight="1" x14ac:dyDescent="0.3">
      <c r="C222" s="31"/>
      <c r="E222" s="31"/>
    </row>
    <row r="223" spans="3:5" ht="15.75" customHeight="1" x14ac:dyDescent="0.3">
      <c r="C223" s="31"/>
      <c r="E223" s="31"/>
    </row>
    <row r="224" spans="3:5" ht="15.75" customHeight="1" x14ac:dyDescent="0.3">
      <c r="C224" s="31"/>
      <c r="E224" s="31"/>
    </row>
    <row r="225" spans="3:5" ht="15.75" customHeight="1" x14ac:dyDescent="0.3">
      <c r="C225" s="31"/>
      <c r="E225" s="31"/>
    </row>
    <row r="226" spans="3:5" ht="15.75" customHeight="1" x14ac:dyDescent="0.3">
      <c r="C226" s="31"/>
      <c r="E226" s="31"/>
    </row>
    <row r="227" spans="3:5" ht="15.75" customHeight="1" x14ac:dyDescent="0.3">
      <c r="C227" s="31"/>
      <c r="E227" s="31"/>
    </row>
    <row r="228" spans="3:5" ht="15.75" customHeight="1" x14ac:dyDescent="0.3">
      <c r="C228" s="31"/>
      <c r="E228" s="31"/>
    </row>
    <row r="229" spans="3:5" ht="15.75" customHeight="1" x14ac:dyDescent="0.3">
      <c r="C229" s="31"/>
      <c r="E229" s="31"/>
    </row>
    <row r="230" spans="3:5" ht="15.75" customHeight="1" x14ac:dyDescent="0.3">
      <c r="C230" s="31"/>
      <c r="E230" s="31"/>
    </row>
    <row r="231" spans="3:5" ht="15.75" customHeight="1" x14ac:dyDescent="0.3">
      <c r="C231" s="31"/>
      <c r="E231" s="31"/>
    </row>
    <row r="232" spans="3:5" ht="15.75" customHeight="1" x14ac:dyDescent="0.3">
      <c r="C232" s="31"/>
      <c r="E232" s="31"/>
    </row>
    <row r="233" spans="3:5" ht="15.75" customHeight="1" x14ac:dyDescent="0.3">
      <c r="C233" s="31"/>
      <c r="E233" s="31"/>
    </row>
    <row r="234" spans="3:5" ht="15.75" customHeight="1" x14ac:dyDescent="0.3">
      <c r="C234" s="31"/>
      <c r="E234" s="31"/>
    </row>
    <row r="235" spans="3:5" ht="15.75" customHeight="1" x14ac:dyDescent="0.3">
      <c r="C235" s="31"/>
      <c r="E235" s="31"/>
    </row>
    <row r="236" spans="3:5" ht="15.75" customHeight="1" x14ac:dyDescent="0.3">
      <c r="C236" s="31"/>
      <c r="E236" s="31"/>
    </row>
    <row r="237" spans="3:5" ht="15.75" customHeight="1" x14ac:dyDescent="0.3">
      <c r="C237" s="31"/>
      <c r="E237" s="31"/>
    </row>
    <row r="238" spans="3:5" ht="15.75" customHeight="1" x14ac:dyDescent="0.3">
      <c r="C238" s="31"/>
      <c r="E238" s="31"/>
    </row>
    <row r="239" spans="3:5" ht="15.75" customHeight="1" x14ac:dyDescent="0.3">
      <c r="C239" s="31"/>
      <c r="E239" s="31"/>
    </row>
    <row r="240" spans="3:5" ht="15.75" customHeight="1" x14ac:dyDescent="0.3">
      <c r="C240" s="31"/>
      <c r="E240" s="31"/>
    </row>
    <row r="241" spans="3:5" ht="15.75" customHeight="1" x14ac:dyDescent="0.3">
      <c r="C241" s="31"/>
      <c r="E241" s="31"/>
    </row>
    <row r="242" spans="3:5" ht="15.75" customHeight="1" x14ac:dyDescent="0.3">
      <c r="C242" s="31"/>
      <c r="E242" s="31"/>
    </row>
    <row r="243" spans="3:5" ht="15.75" customHeight="1" x14ac:dyDescent="0.3">
      <c r="C243" s="31"/>
      <c r="E243" s="31"/>
    </row>
    <row r="244" spans="3:5" ht="15.75" customHeight="1" x14ac:dyDescent="0.3">
      <c r="C244" s="31"/>
      <c r="E244" s="31"/>
    </row>
    <row r="245" spans="3:5" ht="15.75" customHeight="1" x14ac:dyDescent="0.3">
      <c r="C245" s="31"/>
      <c r="E245" s="31"/>
    </row>
    <row r="246" spans="3:5" ht="15.75" customHeight="1" x14ac:dyDescent="0.3">
      <c r="C246" s="31"/>
      <c r="E246" s="31"/>
    </row>
    <row r="247" spans="3:5" ht="15.75" customHeight="1" x14ac:dyDescent="0.3">
      <c r="C247" s="31"/>
      <c r="E247" s="31"/>
    </row>
    <row r="248" spans="3:5" ht="15.75" customHeight="1" x14ac:dyDescent="0.3">
      <c r="C248" s="31"/>
      <c r="E248" s="31"/>
    </row>
    <row r="249" spans="3:5" ht="15.75" customHeight="1" x14ac:dyDescent="0.3">
      <c r="C249" s="31"/>
      <c r="E249" s="31"/>
    </row>
    <row r="250" spans="3:5" ht="15.75" customHeight="1" x14ac:dyDescent="0.3">
      <c r="C250" s="31"/>
      <c r="E250" s="31"/>
    </row>
    <row r="251" spans="3:5" ht="15.75" customHeight="1" x14ac:dyDescent="0.3">
      <c r="C251" s="31"/>
      <c r="E251" s="31"/>
    </row>
    <row r="252" spans="3:5" ht="15.75" customHeight="1" x14ac:dyDescent="0.3">
      <c r="C252" s="31"/>
      <c r="E252" s="31"/>
    </row>
    <row r="253" spans="3:5" ht="15.75" customHeight="1" x14ac:dyDescent="0.3">
      <c r="C253" s="31"/>
      <c r="E253" s="31"/>
    </row>
    <row r="254" spans="3:5" ht="15.75" customHeight="1" x14ac:dyDescent="0.3">
      <c r="C254" s="31"/>
      <c r="E254" s="31"/>
    </row>
    <row r="255" spans="3:5" ht="15.75" customHeight="1" x14ac:dyDescent="0.3">
      <c r="C255" s="31"/>
      <c r="E255" s="31"/>
    </row>
    <row r="256" spans="3:5" ht="15.75" customHeight="1" x14ac:dyDescent="0.3">
      <c r="C256" s="31"/>
      <c r="E256" s="31"/>
    </row>
    <row r="257" spans="3:5" ht="15.75" customHeight="1" x14ac:dyDescent="0.3">
      <c r="C257" s="31"/>
      <c r="E257" s="31"/>
    </row>
    <row r="258" spans="3:5" ht="15.75" customHeight="1" x14ac:dyDescent="0.3">
      <c r="C258" s="31"/>
      <c r="E258" s="31"/>
    </row>
    <row r="259" spans="3:5" ht="15.75" customHeight="1" x14ac:dyDescent="0.3">
      <c r="C259" s="31"/>
      <c r="E259" s="31"/>
    </row>
    <row r="260" spans="3:5" ht="15.75" customHeight="1" x14ac:dyDescent="0.3">
      <c r="C260" s="31"/>
      <c r="E260" s="31"/>
    </row>
    <row r="261" spans="3:5" ht="15.75" customHeight="1" x14ac:dyDescent="0.3">
      <c r="C261" s="31"/>
      <c r="E261" s="31"/>
    </row>
    <row r="262" spans="3:5" ht="15.75" customHeight="1" x14ac:dyDescent="0.3">
      <c r="C262" s="31"/>
      <c r="E262" s="31"/>
    </row>
    <row r="263" spans="3:5" ht="15.75" customHeight="1" x14ac:dyDescent="0.3">
      <c r="C263" s="31"/>
      <c r="E263" s="31"/>
    </row>
    <row r="264" spans="3:5" ht="15.75" customHeight="1" x14ac:dyDescent="0.3">
      <c r="C264" s="31"/>
      <c r="E264" s="31"/>
    </row>
    <row r="265" spans="3:5" ht="15.75" customHeight="1" x14ac:dyDescent="0.3">
      <c r="C265" s="31"/>
      <c r="E265" s="31"/>
    </row>
    <row r="266" spans="3:5" ht="15.75" customHeight="1" x14ac:dyDescent="0.3">
      <c r="C266" s="31"/>
      <c r="E266" s="31"/>
    </row>
    <row r="267" spans="3:5" ht="15.75" customHeight="1" x14ac:dyDescent="0.3">
      <c r="C267" s="31"/>
      <c r="E267" s="31"/>
    </row>
    <row r="268" spans="3:5" ht="15.75" customHeight="1" x14ac:dyDescent="0.3">
      <c r="C268" s="31"/>
      <c r="E268" s="31"/>
    </row>
    <row r="269" spans="3:5" ht="15.75" customHeight="1" x14ac:dyDescent="0.3">
      <c r="C269" s="31"/>
      <c r="E269" s="31"/>
    </row>
    <row r="270" spans="3:5" ht="15.75" customHeight="1" x14ac:dyDescent="0.3">
      <c r="C270" s="31"/>
      <c r="E270" s="31"/>
    </row>
    <row r="271" spans="3:5" ht="15.75" customHeight="1" x14ac:dyDescent="0.3">
      <c r="C271" s="31"/>
      <c r="E271" s="31"/>
    </row>
    <row r="272" spans="3:5" ht="15.75" customHeight="1" x14ac:dyDescent="0.3">
      <c r="C272" s="31"/>
      <c r="E272" s="31"/>
    </row>
    <row r="273" spans="3:5" ht="15.75" customHeight="1" x14ac:dyDescent="0.3">
      <c r="C273" s="31"/>
      <c r="E273" s="31"/>
    </row>
    <row r="274" spans="3:5" ht="15.75" customHeight="1" x14ac:dyDescent="0.3">
      <c r="C274" s="31"/>
      <c r="E274" s="31"/>
    </row>
    <row r="275" spans="3:5" ht="15.75" customHeight="1" x14ac:dyDescent="0.3">
      <c r="C275" s="31"/>
      <c r="E275" s="31"/>
    </row>
    <row r="276" spans="3:5" ht="15.75" customHeight="1" x14ac:dyDescent="0.3">
      <c r="C276" s="31"/>
      <c r="E276" s="31"/>
    </row>
    <row r="277" spans="3:5" ht="15.75" customHeight="1" x14ac:dyDescent="0.3">
      <c r="C277" s="31"/>
      <c r="E277" s="31"/>
    </row>
    <row r="278" spans="3:5" ht="15.75" customHeight="1" x14ac:dyDescent="0.3">
      <c r="C278" s="31"/>
      <c r="E278" s="31"/>
    </row>
    <row r="279" spans="3:5" ht="15.75" customHeight="1" x14ac:dyDescent="0.3">
      <c r="C279" s="31"/>
      <c r="E279" s="31"/>
    </row>
    <row r="280" spans="3:5" ht="15.75" customHeight="1" x14ac:dyDescent="0.3">
      <c r="C280" s="31"/>
      <c r="E280" s="31"/>
    </row>
    <row r="281" spans="3:5" ht="15.75" customHeight="1" x14ac:dyDescent="0.3">
      <c r="C281" s="31"/>
      <c r="E281" s="31"/>
    </row>
    <row r="282" spans="3:5" ht="15.75" customHeight="1" x14ac:dyDescent="0.3">
      <c r="C282" s="31"/>
      <c r="E282" s="31"/>
    </row>
    <row r="283" spans="3:5" ht="15.75" customHeight="1" x14ac:dyDescent="0.3">
      <c r="C283" s="31"/>
      <c r="E283" s="31"/>
    </row>
    <row r="284" spans="3:5" ht="15.75" customHeight="1" x14ac:dyDescent="0.3">
      <c r="C284" s="31"/>
      <c r="E284" s="31"/>
    </row>
    <row r="285" spans="3:5" ht="15.75" customHeight="1" x14ac:dyDescent="0.3">
      <c r="C285" s="31"/>
      <c r="E285" s="31"/>
    </row>
    <row r="286" spans="3:5" ht="15.75" customHeight="1" x14ac:dyDescent="0.3">
      <c r="C286" s="31"/>
      <c r="E286" s="31"/>
    </row>
    <row r="287" spans="3:5" ht="15.75" customHeight="1" x14ac:dyDescent="0.3">
      <c r="C287" s="31"/>
      <c r="E287" s="31"/>
    </row>
    <row r="288" spans="3:5" ht="15.75" customHeight="1" x14ac:dyDescent="0.3">
      <c r="C288" s="31"/>
      <c r="E288" s="31"/>
    </row>
    <row r="289" spans="3:5" ht="15.75" customHeight="1" x14ac:dyDescent="0.3">
      <c r="C289" s="31"/>
      <c r="E289" s="31"/>
    </row>
    <row r="290" spans="3:5" ht="15.75" customHeight="1" x14ac:dyDescent="0.3">
      <c r="C290" s="31"/>
      <c r="E290" s="31"/>
    </row>
    <row r="291" spans="3:5" ht="15.75" customHeight="1" x14ac:dyDescent="0.3">
      <c r="C291" s="31"/>
      <c r="E291" s="31"/>
    </row>
    <row r="292" spans="3:5" ht="15.75" customHeight="1" x14ac:dyDescent="0.3">
      <c r="C292" s="31"/>
      <c r="E292" s="31"/>
    </row>
    <row r="293" spans="3:5" ht="15.75" customHeight="1" x14ac:dyDescent="0.3">
      <c r="C293" s="31"/>
      <c r="E293" s="31"/>
    </row>
    <row r="294" spans="3:5" ht="15.75" customHeight="1" x14ac:dyDescent="0.3">
      <c r="C294" s="31"/>
      <c r="E294" s="31"/>
    </row>
    <row r="295" spans="3:5" ht="15.75" customHeight="1" x14ac:dyDescent="0.3">
      <c r="C295" s="31"/>
      <c r="E295" s="31"/>
    </row>
    <row r="296" spans="3:5" ht="15.75" customHeight="1" x14ac:dyDescent="0.3">
      <c r="C296" s="31"/>
      <c r="E296" s="31"/>
    </row>
    <row r="297" spans="3:5" ht="15.75" customHeight="1" x14ac:dyDescent="0.3">
      <c r="C297" s="31"/>
      <c r="E297" s="31"/>
    </row>
    <row r="298" spans="3:5" ht="15.75" customHeight="1" x14ac:dyDescent="0.3">
      <c r="C298" s="31"/>
      <c r="E298" s="31"/>
    </row>
    <row r="299" spans="3:5" ht="15.75" customHeight="1" x14ac:dyDescent="0.3">
      <c r="C299" s="31"/>
      <c r="E299" s="31"/>
    </row>
    <row r="300" spans="3:5" ht="15.75" customHeight="1" x14ac:dyDescent="0.3">
      <c r="C300" s="31"/>
      <c r="E300" s="31"/>
    </row>
    <row r="301" spans="3:5" ht="15.75" customHeight="1" x14ac:dyDescent="0.3">
      <c r="C301" s="31"/>
      <c r="E301" s="31"/>
    </row>
    <row r="302" spans="3:5" ht="15.75" customHeight="1" x14ac:dyDescent="0.3">
      <c r="C302" s="31"/>
      <c r="E302" s="31"/>
    </row>
    <row r="303" spans="3:5" ht="15.75" customHeight="1" x14ac:dyDescent="0.3">
      <c r="C303" s="31"/>
      <c r="E303" s="31"/>
    </row>
    <row r="304" spans="3:5" ht="15.75" customHeight="1" x14ac:dyDescent="0.3">
      <c r="C304" s="31"/>
      <c r="E304" s="31"/>
    </row>
    <row r="305" spans="3:5" ht="15.75" customHeight="1" x14ac:dyDescent="0.3">
      <c r="C305" s="31"/>
      <c r="E305" s="31"/>
    </row>
    <row r="306" spans="3:5" ht="15.75" customHeight="1" x14ac:dyDescent="0.3">
      <c r="C306" s="31"/>
      <c r="E306" s="31"/>
    </row>
    <row r="307" spans="3:5" ht="15.75" customHeight="1" x14ac:dyDescent="0.3">
      <c r="C307" s="31"/>
      <c r="E307" s="31"/>
    </row>
    <row r="308" spans="3:5" ht="15.75" customHeight="1" x14ac:dyDescent="0.3">
      <c r="C308" s="31"/>
      <c r="E308" s="31"/>
    </row>
    <row r="309" spans="3:5" ht="15.75" customHeight="1" x14ac:dyDescent="0.3">
      <c r="C309" s="31"/>
      <c r="E309" s="31"/>
    </row>
    <row r="310" spans="3:5" ht="15.75" customHeight="1" x14ac:dyDescent="0.3">
      <c r="C310" s="31"/>
      <c r="E310" s="31"/>
    </row>
    <row r="311" spans="3:5" ht="15.75" customHeight="1" x14ac:dyDescent="0.3">
      <c r="C311" s="31"/>
      <c r="E311" s="31"/>
    </row>
    <row r="312" spans="3:5" ht="15.75" customHeight="1" x14ac:dyDescent="0.3">
      <c r="C312" s="31"/>
      <c r="E312" s="31"/>
    </row>
    <row r="313" spans="3:5" ht="15.75" customHeight="1" x14ac:dyDescent="0.3">
      <c r="C313" s="31"/>
      <c r="E313" s="31"/>
    </row>
    <row r="314" spans="3:5" ht="15.75" customHeight="1" x14ac:dyDescent="0.3">
      <c r="C314" s="31"/>
      <c r="E314" s="31"/>
    </row>
    <row r="315" spans="3:5" ht="15.75" customHeight="1" x14ac:dyDescent="0.3">
      <c r="C315" s="31"/>
      <c r="E315" s="31"/>
    </row>
    <row r="316" spans="3:5" ht="15.75" customHeight="1" x14ac:dyDescent="0.3">
      <c r="C316" s="31"/>
      <c r="E316" s="31"/>
    </row>
    <row r="317" spans="3:5" ht="15.75" customHeight="1" x14ac:dyDescent="0.3">
      <c r="C317" s="31"/>
      <c r="E317" s="31"/>
    </row>
    <row r="318" spans="3:5" ht="15.75" customHeight="1" x14ac:dyDescent="0.3">
      <c r="C318" s="31"/>
      <c r="E318" s="31"/>
    </row>
    <row r="319" spans="3:5" ht="15.75" customHeight="1" x14ac:dyDescent="0.3">
      <c r="C319" s="31"/>
      <c r="E319" s="31"/>
    </row>
    <row r="320" spans="3:5" ht="15.75" customHeight="1" x14ac:dyDescent="0.3">
      <c r="C320" s="31"/>
      <c r="E320" s="31"/>
    </row>
    <row r="321" spans="3:5" ht="15.75" customHeight="1" x14ac:dyDescent="0.3">
      <c r="C321" s="31"/>
      <c r="E321" s="31"/>
    </row>
    <row r="322" spans="3:5" ht="15.75" customHeight="1" x14ac:dyDescent="0.3">
      <c r="C322" s="31"/>
      <c r="E322" s="31"/>
    </row>
    <row r="323" spans="3:5" ht="15.75" customHeight="1" x14ac:dyDescent="0.3">
      <c r="C323" s="31"/>
      <c r="E323" s="31"/>
    </row>
    <row r="324" spans="3:5" ht="15.75" customHeight="1" x14ac:dyDescent="0.3">
      <c r="C324" s="31"/>
      <c r="E324" s="31"/>
    </row>
    <row r="325" spans="3:5" ht="15.75" customHeight="1" x14ac:dyDescent="0.3">
      <c r="C325" s="31"/>
      <c r="E325" s="31"/>
    </row>
    <row r="326" spans="3:5" ht="15.75" customHeight="1" x14ac:dyDescent="0.3">
      <c r="C326" s="31"/>
      <c r="E326" s="31"/>
    </row>
    <row r="327" spans="3:5" ht="15.75" customHeight="1" x14ac:dyDescent="0.3">
      <c r="C327" s="31"/>
      <c r="E327" s="31"/>
    </row>
    <row r="328" spans="3:5" ht="15.75" customHeight="1" x14ac:dyDescent="0.3">
      <c r="C328" s="31"/>
      <c r="E328" s="31"/>
    </row>
    <row r="329" spans="3:5" ht="15.75" customHeight="1" x14ac:dyDescent="0.3">
      <c r="C329" s="31"/>
      <c r="E329" s="31"/>
    </row>
    <row r="330" spans="3:5" ht="15.75" customHeight="1" x14ac:dyDescent="0.3">
      <c r="C330" s="31"/>
      <c r="E330" s="31"/>
    </row>
    <row r="331" spans="3:5" ht="15.75" customHeight="1" x14ac:dyDescent="0.3">
      <c r="C331" s="31"/>
      <c r="E331" s="31"/>
    </row>
    <row r="332" spans="3:5" ht="15.75" customHeight="1" x14ac:dyDescent="0.3">
      <c r="C332" s="31"/>
      <c r="E332" s="31"/>
    </row>
    <row r="333" spans="3:5" ht="15.75" customHeight="1" x14ac:dyDescent="0.3">
      <c r="C333" s="31"/>
      <c r="E333" s="31"/>
    </row>
    <row r="334" spans="3:5" ht="15.75" customHeight="1" x14ac:dyDescent="0.3">
      <c r="C334" s="31"/>
      <c r="E334" s="31"/>
    </row>
    <row r="335" spans="3:5" ht="15.75" customHeight="1" x14ac:dyDescent="0.3">
      <c r="C335" s="31"/>
      <c r="E335" s="31"/>
    </row>
    <row r="336" spans="3:5" ht="15.75" customHeight="1" x14ac:dyDescent="0.3">
      <c r="C336" s="31"/>
      <c r="E336" s="31"/>
    </row>
    <row r="337" spans="3:5" ht="15.75" customHeight="1" x14ac:dyDescent="0.3">
      <c r="C337" s="31"/>
      <c r="E337" s="31"/>
    </row>
    <row r="338" spans="3:5" ht="15.75" customHeight="1" x14ac:dyDescent="0.3">
      <c r="C338" s="31"/>
      <c r="E338" s="31"/>
    </row>
    <row r="339" spans="3:5" ht="15.75" customHeight="1" x14ac:dyDescent="0.3">
      <c r="C339" s="31"/>
      <c r="E339" s="31"/>
    </row>
    <row r="340" spans="3:5" ht="15.75" customHeight="1" x14ac:dyDescent="0.3">
      <c r="C340" s="31"/>
      <c r="E340" s="31"/>
    </row>
    <row r="341" spans="3:5" ht="15.75" customHeight="1" x14ac:dyDescent="0.3">
      <c r="C341" s="31"/>
      <c r="E341" s="31"/>
    </row>
    <row r="342" spans="3:5" ht="15.75" customHeight="1" x14ac:dyDescent="0.3">
      <c r="C342" s="31"/>
      <c r="E342" s="31"/>
    </row>
    <row r="343" spans="3:5" ht="15.75" customHeight="1" x14ac:dyDescent="0.3">
      <c r="C343" s="31"/>
      <c r="E343" s="31"/>
    </row>
    <row r="344" spans="3:5" ht="15.75" customHeight="1" x14ac:dyDescent="0.3">
      <c r="C344" s="31"/>
      <c r="E344" s="31"/>
    </row>
    <row r="345" spans="3:5" ht="15.75" customHeight="1" x14ac:dyDescent="0.3">
      <c r="C345" s="31"/>
      <c r="E345" s="31"/>
    </row>
    <row r="346" spans="3:5" ht="15.75" customHeight="1" x14ac:dyDescent="0.3">
      <c r="C346" s="31"/>
      <c r="E346" s="31"/>
    </row>
    <row r="347" spans="3:5" ht="15.75" customHeight="1" x14ac:dyDescent="0.3">
      <c r="C347" s="31"/>
      <c r="E347" s="31"/>
    </row>
    <row r="348" spans="3:5" ht="15.75" customHeight="1" x14ac:dyDescent="0.3">
      <c r="C348" s="31"/>
      <c r="E348" s="31"/>
    </row>
    <row r="349" spans="3:5" ht="15.75" customHeight="1" x14ac:dyDescent="0.3">
      <c r="C349" s="31"/>
      <c r="E349" s="31"/>
    </row>
    <row r="350" spans="3:5" ht="15.75" customHeight="1" x14ac:dyDescent="0.3">
      <c r="C350" s="31"/>
      <c r="E350" s="31"/>
    </row>
    <row r="351" spans="3:5" ht="15.75" customHeight="1" x14ac:dyDescent="0.3">
      <c r="C351" s="31"/>
      <c r="E351" s="31"/>
    </row>
    <row r="352" spans="3:5" ht="15.75" customHeight="1" x14ac:dyDescent="0.3">
      <c r="C352" s="31"/>
      <c r="E352" s="31"/>
    </row>
    <row r="353" spans="3:5" ht="15.75" customHeight="1" x14ac:dyDescent="0.3">
      <c r="C353" s="31"/>
      <c r="E353" s="31"/>
    </row>
    <row r="354" spans="3:5" ht="15.75" customHeight="1" x14ac:dyDescent="0.3">
      <c r="C354" s="31"/>
      <c r="E354" s="31"/>
    </row>
    <row r="355" spans="3:5" ht="15.75" customHeight="1" x14ac:dyDescent="0.3">
      <c r="C355" s="31"/>
      <c r="E355" s="31"/>
    </row>
    <row r="356" spans="3:5" ht="15.75" customHeight="1" x14ac:dyDescent="0.3">
      <c r="C356" s="31"/>
      <c r="E356" s="31"/>
    </row>
    <row r="357" spans="3:5" ht="15.75" customHeight="1" x14ac:dyDescent="0.3">
      <c r="C357" s="31"/>
      <c r="E357" s="31"/>
    </row>
    <row r="358" spans="3:5" ht="15.75" customHeight="1" x14ac:dyDescent="0.3">
      <c r="C358" s="31"/>
      <c r="E358" s="31"/>
    </row>
    <row r="359" spans="3:5" ht="15.75" customHeight="1" x14ac:dyDescent="0.3">
      <c r="C359" s="31"/>
      <c r="E359" s="31"/>
    </row>
    <row r="360" spans="3:5" ht="15.75" customHeight="1" x14ac:dyDescent="0.3">
      <c r="C360" s="31"/>
      <c r="E360" s="31"/>
    </row>
    <row r="361" spans="3:5" ht="15.75" customHeight="1" x14ac:dyDescent="0.3">
      <c r="C361" s="31"/>
      <c r="E361" s="31"/>
    </row>
    <row r="362" spans="3:5" ht="15.75" customHeight="1" x14ac:dyDescent="0.3">
      <c r="C362" s="31"/>
      <c r="E362" s="31"/>
    </row>
    <row r="363" spans="3:5" ht="15.75" customHeight="1" x14ac:dyDescent="0.3">
      <c r="C363" s="31"/>
      <c r="E363" s="31"/>
    </row>
    <row r="364" spans="3:5" ht="15.75" customHeight="1" x14ac:dyDescent="0.3">
      <c r="C364" s="31"/>
      <c r="E364" s="31"/>
    </row>
    <row r="365" spans="3:5" ht="15.75" customHeight="1" x14ac:dyDescent="0.3">
      <c r="C365" s="31"/>
      <c r="E365" s="31"/>
    </row>
    <row r="366" spans="3:5" ht="15.75" customHeight="1" x14ac:dyDescent="0.3">
      <c r="C366" s="31"/>
      <c r="E366" s="31"/>
    </row>
    <row r="367" spans="3:5" ht="15.75" customHeight="1" x14ac:dyDescent="0.3">
      <c r="C367" s="31"/>
      <c r="E367" s="31"/>
    </row>
    <row r="368" spans="3:5" ht="15.75" customHeight="1" x14ac:dyDescent="0.3">
      <c r="C368" s="31"/>
      <c r="E368" s="31"/>
    </row>
    <row r="369" spans="3:5" ht="15.75" customHeight="1" x14ac:dyDescent="0.3">
      <c r="C369" s="31"/>
      <c r="E369" s="31"/>
    </row>
    <row r="370" spans="3:5" ht="15.75" customHeight="1" x14ac:dyDescent="0.3">
      <c r="C370" s="31"/>
      <c r="E370" s="31"/>
    </row>
    <row r="371" spans="3:5" ht="15.75" customHeight="1" x14ac:dyDescent="0.3">
      <c r="C371" s="31"/>
      <c r="E371" s="31"/>
    </row>
    <row r="372" spans="3:5" ht="15.75" customHeight="1" x14ac:dyDescent="0.3">
      <c r="C372" s="31"/>
      <c r="E372" s="31"/>
    </row>
    <row r="373" spans="3:5" ht="15.75" customHeight="1" x14ac:dyDescent="0.3">
      <c r="C373" s="31"/>
      <c r="E373" s="31"/>
    </row>
    <row r="374" spans="3:5" ht="15.75" customHeight="1" x14ac:dyDescent="0.3">
      <c r="C374" s="31"/>
      <c r="E374" s="31"/>
    </row>
    <row r="375" spans="3:5" ht="15.75" customHeight="1" x14ac:dyDescent="0.3">
      <c r="C375" s="31"/>
      <c r="E375" s="31"/>
    </row>
    <row r="376" spans="3:5" ht="15.75" customHeight="1" x14ac:dyDescent="0.3">
      <c r="C376" s="31"/>
      <c r="E376" s="31"/>
    </row>
    <row r="377" spans="3:5" ht="15.75" customHeight="1" x14ac:dyDescent="0.3">
      <c r="C377" s="31"/>
      <c r="E377" s="31"/>
    </row>
    <row r="378" spans="3:5" ht="15.75" customHeight="1" x14ac:dyDescent="0.3">
      <c r="C378" s="31"/>
      <c r="E378" s="31"/>
    </row>
    <row r="379" spans="3:5" ht="15.75" customHeight="1" x14ac:dyDescent="0.3">
      <c r="C379" s="31"/>
      <c r="E379" s="31"/>
    </row>
    <row r="380" spans="3:5" ht="15.75" customHeight="1" x14ac:dyDescent="0.3">
      <c r="C380" s="31"/>
      <c r="E380" s="31"/>
    </row>
    <row r="381" spans="3:5" ht="15.75" customHeight="1" x14ac:dyDescent="0.3">
      <c r="C381" s="31"/>
      <c r="E381" s="31"/>
    </row>
    <row r="382" spans="3:5" ht="15.75" customHeight="1" x14ac:dyDescent="0.3">
      <c r="C382" s="31"/>
      <c r="E382" s="31"/>
    </row>
    <row r="383" spans="3:5" ht="15.75" customHeight="1" x14ac:dyDescent="0.3">
      <c r="C383" s="31"/>
      <c r="E383" s="31"/>
    </row>
    <row r="384" spans="3:5" ht="15.75" customHeight="1" x14ac:dyDescent="0.3">
      <c r="C384" s="31"/>
      <c r="E384" s="31"/>
    </row>
    <row r="385" spans="3:5" ht="15.75" customHeight="1" x14ac:dyDescent="0.3">
      <c r="C385" s="31"/>
      <c r="E385" s="31"/>
    </row>
    <row r="386" spans="3:5" ht="15.75" customHeight="1" x14ac:dyDescent="0.3">
      <c r="C386" s="31"/>
      <c r="E386" s="31"/>
    </row>
    <row r="387" spans="3:5" ht="15.75" customHeight="1" x14ac:dyDescent="0.3">
      <c r="C387" s="31"/>
      <c r="E387" s="31"/>
    </row>
    <row r="388" spans="3:5" ht="15.75" customHeight="1" x14ac:dyDescent="0.3">
      <c r="C388" s="31"/>
      <c r="E388" s="31"/>
    </row>
    <row r="389" spans="3:5" ht="15.75" customHeight="1" x14ac:dyDescent="0.3">
      <c r="C389" s="31"/>
      <c r="E389" s="31"/>
    </row>
    <row r="390" spans="3:5" ht="15.75" customHeight="1" x14ac:dyDescent="0.3">
      <c r="C390" s="31"/>
      <c r="E390" s="31"/>
    </row>
    <row r="391" spans="3:5" ht="15.75" customHeight="1" x14ac:dyDescent="0.3">
      <c r="C391" s="31"/>
      <c r="E391" s="31"/>
    </row>
    <row r="392" spans="3:5" ht="15.75" customHeight="1" x14ac:dyDescent="0.3">
      <c r="C392" s="31"/>
      <c r="E392" s="31"/>
    </row>
    <row r="393" spans="3:5" ht="15.75" customHeight="1" x14ac:dyDescent="0.3">
      <c r="C393" s="31"/>
      <c r="E393" s="31"/>
    </row>
    <row r="394" spans="3:5" ht="15.75" customHeight="1" x14ac:dyDescent="0.3">
      <c r="C394" s="31"/>
      <c r="E394" s="31"/>
    </row>
    <row r="395" spans="3:5" ht="15.75" customHeight="1" x14ac:dyDescent="0.3">
      <c r="C395" s="31"/>
      <c r="E395" s="31"/>
    </row>
    <row r="396" spans="3:5" ht="15.75" customHeight="1" x14ac:dyDescent="0.3">
      <c r="C396" s="31"/>
      <c r="E396" s="31"/>
    </row>
    <row r="397" spans="3:5" ht="15.75" customHeight="1" x14ac:dyDescent="0.3">
      <c r="C397" s="31"/>
      <c r="E397" s="31"/>
    </row>
    <row r="398" spans="3:5" ht="15.75" customHeight="1" x14ac:dyDescent="0.3">
      <c r="C398" s="31"/>
      <c r="E398" s="31"/>
    </row>
    <row r="399" spans="3:5" ht="15.75" customHeight="1" x14ac:dyDescent="0.3">
      <c r="C399" s="31"/>
      <c r="E399" s="31"/>
    </row>
    <row r="400" spans="3:5" ht="15.75" customHeight="1" x14ac:dyDescent="0.3">
      <c r="C400" s="31"/>
      <c r="E400" s="31"/>
    </row>
    <row r="401" spans="3:5" ht="15.75" customHeight="1" x14ac:dyDescent="0.3">
      <c r="C401" s="31"/>
      <c r="E401" s="31"/>
    </row>
    <row r="402" spans="3:5" ht="15.75" customHeight="1" x14ac:dyDescent="0.3">
      <c r="C402" s="31"/>
      <c r="E402" s="31"/>
    </row>
    <row r="403" spans="3:5" ht="15.75" customHeight="1" x14ac:dyDescent="0.3">
      <c r="C403" s="31"/>
      <c r="E403" s="31"/>
    </row>
    <row r="404" spans="3:5" ht="15.75" customHeight="1" x14ac:dyDescent="0.3">
      <c r="C404" s="31"/>
      <c r="E404" s="31"/>
    </row>
    <row r="405" spans="3:5" ht="15.75" customHeight="1" x14ac:dyDescent="0.3">
      <c r="C405" s="31"/>
      <c r="E405" s="31"/>
    </row>
    <row r="406" spans="3:5" ht="15.75" customHeight="1" x14ac:dyDescent="0.3">
      <c r="C406" s="31"/>
      <c r="E406" s="31"/>
    </row>
    <row r="407" spans="3:5" ht="15.75" customHeight="1" x14ac:dyDescent="0.3">
      <c r="C407" s="31"/>
      <c r="E407" s="31"/>
    </row>
    <row r="408" spans="3:5" ht="15.75" customHeight="1" x14ac:dyDescent="0.3">
      <c r="C408" s="31"/>
      <c r="E408" s="31"/>
    </row>
    <row r="409" spans="3:5" ht="15.75" customHeight="1" x14ac:dyDescent="0.3">
      <c r="C409" s="31"/>
      <c r="E409" s="31"/>
    </row>
    <row r="410" spans="3:5" ht="15.75" customHeight="1" x14ac:dyDescent="0.3">
      <c r="C410" s="31"/>
      <c r="E410" s="31"/>
    </row>
    <row r="411" spans="3:5" ht="15.75" customHeight="1" x14ac:dyDescent="0.3">
      <c r="C411" s="31"/>
      <c r="E411" s="31"/>
    </row>
    <row r="412" spans="3:5" ht="15.75" customHeight="1" x14ac:dyDescent="0.3">
      <c r="C412" s="31"/>
      <c r="E412" s="31"/>
    </row>
    <row r="413" spans="3:5" ht="15.75" customHeight="1" x14ac:dyDescent="0.3">
      <c r="C413" s="31"/>
      <c r="E413" s="31"/>
    </row>
    <row r="414" spans="3:5" ht="15.75" customHeight="1" x14ac:dyDescent="0.3">
      <c r="C414" s="31"/>
      <c r="E414" s="31"/>
    </row>
    <row r="415" spans="3:5" ht="15.75" customHeight="1" x14ac:dyDescent="0.3">
      <c r="C415" s="31"/>
      <c r="E415" s="31"/>
    </row>
    <row r="416" spans="3:5" ht="15.75" customHeight="1" x14ac:dyDescent="0.3">
      <c r="C416" s="31"/>
      <c r="E416" s="31"/>
    </row>
    <row r="417" spans="3:5" ht="15.75" customHeight="1" x14ac:dyDescent="0.3">
      <c r="C417" s="31"/>
      <c r="E417" s="31"/>
    </row>
    <row r="418" spans="3:5" ht="15.75" customHeight="1" x14ac:dyDescent="0.3">
      <c r="C418" s="31"/>
      <c r="E418" s="31"/>
    </row>
    <row r="419" spans="3:5" ht="15.75" customHeight="1" x14ac:dyDescent="0.3">
      <c r="C419" s="31"/>
      <c r="E419" s="31"/>
    </row>
    <row r="420" spans="3:5" ht="15.75" customHeight="1" x14ac:dyDescent="0.3">
      <c r="C420" s="31"/>
      <c r="E420" s="31"/>
    </row>
    <row r="421" spans="3:5" ht="15.75" customHeight="1" x14ac:dyDescent="0.3">
      <c r="C421" s="31"/>
      <c r="E421" s="31"/>
    </row>
    <row r="422" spans="3:5" ht="15.75" customHeight="1" x14ac:dyDescent="0.3">
      <c r="C422" s="31"/>
      <c r="E422" s="31"/>
    </row>
    <row r="423" spans="3:5" ht="15.75" customHeight="1" x14ac:dyDescent="0.3">
      <c r="C423" s="31"/>
      <c r="E423" s="31"/>
    </row>
    <row r="424" spans="3:5" ht="15.75" customHeight="1" x14ac:dyDescent="0.3">
      <c r="C424" s="31"/>
      <c r="E424" s="31"/>
    </row>
    <row r="425" spans="3:5" ht="15.75" customHeight="1" x14ac:dyDescent="0.3">
      <c r="C425" s="31"/>
      <c r="E425" s="31"/>
    </row>
    <row r="426" spans="3:5" ht="15.75" customHeight="1" x14ac:dyDescent="0.3">
      <c r="C426" s="31"/>
      <c r="E426" s="31"/>
    </row>
    <row r="427" spans="3:5" ht="15.75" customHeight="1" x14ac:dyDescent="0.3">
      <c r="C427" s="31"/>
      <c r="E427" s="31"/>
    </row>
    <row r="428" spans="3:5" ht="15.75" customHeight="1" x14ac:dyDescent="0.3">
      <c r="C428" s="31"/>
      <c r="E428" s="31"/>
    </row>
    <row r="429" spans="3:5" ht="15.75" customHeight="1" x14ac:dyDescent="0.3">
      <c r="C429" s="31"/>
      <c r="E429" s="31"/>
    </row>
    <row r="430" spans="3:5" ht="15.75" customHeight="1" x14ac:dyDescent="0.3">
      <c r="C430" s="31"/>
      <c r="E430" s="31"/>
    </row>
    <row r="431" spans="3:5" ht="15.75" customHeight="1" x14ac:dyDescent="0.3">
      <c r="C431" s="31"/>
      <c r="E431" s="31"/>
    </row>
    <row r="432" spans="3:5" ht="15.75" customHeight="1" x14ac:dyDescent="0.3">
      <c r="C432" s="31"/>
      <c r="E432" s="31"/>
    </row>
    <row r="433" spans="3:5" ht="15.75" customHeight="1" x14ac:dyDescent="0.3">
      <c r="C433" s="31"/>
      <c r="E433" s="31"/>
    </row>
    <row r="434" spans="3:5" ht="15.75" customHeight="1" x14ac:dyDescent="0.3">
      <c r="C434" s="31"/>
      <c r="E434" s="31"/>
    </row>
    <row r="435" spans="3:5" ht="15.75" customHeight="1" x14ac:dyDescent="0.3">
      <c r="C435" s="31"/>
      <c r="E435" s="31"/>
    </row>
    <row r="436" spans="3:5" ht="15.75" customHeight="1" x14ac:dyDescent="0.3">
      <c r="C436" s="31"/>
      <c r="E436" s="31"/>
    </row>
    <row r="437" spans="3:5" ht="15.75" customHeight="1" x14ac:dyDescent="0.3">
      <c r="C437" s="31"/>
      <c r="E437" s="31"/>
    </row>
    <row r="438" spans="3:5" ht="15.75" customHeight="1" x14ac:dyDescent="0.3">
      <c r="C438" s="31"/>
      <c r="E438" s="31"/>
    </row>
    <row r="439" spans="3:5" ht="15.75" customHeight="1" x14ac:dyDescent="0.3">
      <c r="C439" s="31"/>
      <c r="E439" s="31"/>
    </row>
    <row r="440" spans="3:5" ht="15.75" customHeight="1" x14ac:dyDescent="0.3">
      <c r="C440" s="31"/>
      <c r="E440" s="31"/>
    </row>
    <row r="441" spans="3:5" ht="15.75" customHeight="1" x14ac:dyDescent="0.3">
      <c r="C441" s="31"/>
      <c r="E441" s="31"/>
    </row>
    <row r="442" spans="3:5" ht="15.75" customHeight="1" x14ac:dyDescent="0.3">
      <c r="C442" s="31"/>
      <c r="E442" s="31"/>
    </row>
    <row r="443" spans="3:5" ht="15.75" customHeight="1" x14ac:dyDescent="0.3">
      <c r="C443" s="31"/>
      <c r="E443" s="31"/>
    </row>
    <row r="444" spans="3:5" ht="15.75" customHeight="1" x14ac:dyDescent="0.3">
      <c r="C444" s="31"/>
      <c r="E444" s="31"/>
    </row>
    <row r="445" spans="3:5" ht="15.75" customHeight="1" x14ac:dyDescent="0.3">
      <c r="C445" s="31"/>
      <c r="E445" s="31"/>
    </row>
    <row r="446" spans="3:5" ht="15.75" customHeight="1" x14ac:dyDescent="0.3">
      <c r="C446" s="31"/>
      <c r="E446" s="31"/>
    </row>
    <row r="447" spans="3:5" ht="15.75" customHeight="1" x14ac:dyDescent="0.3">
      <c r="C447" s="31"/>
      <c r="E447" s="31"/>
    </row>
    <row r="448" spans="3:5" ht="15.75" customHeight="1" x14ac:dyDescent="0.3">
      <c r="C448" s="31"/>
      <c r="E448" s="31"/>
    </row>
    <row r="449" spans="3:5" ht="15.75" customHeight="1" x14ac:dyDescent="0.3">
      <c r="C449" s="31"/>
      <c r="E449" s="31"/>
    </row>
    <row r="450" spans="3:5" ht="15.75" customHeight="1" x14ac:dyDescent="0.3">
      <c r="C450" s="31"/>
      <c r="E450" s="31"/>
    </row>
    <row r="451" spans="3:5" ht="15.75" customHeight="1" x14ac:dyDescent="0.3">
      <c r="C451" s="31"/>
      <c r="E451" s="31"/>
    </row>
    <row r="452" spans="3:5" ht="15.75" customHeight="1" x14ac:dyDescent="0.3">
      <c r="C452" s="31"/>
      <c r="E452" s="31"/>
    </row>
    <row r="453" spans="3:5" ht="15.75" customHeight="1" x14ac:dyDescent="0.3">
      <c r="C453" s="31"/>
      <c r="E453" s="31"/>
    </row>
    <row r="454" spans="3:5" ht="15.75" customHeight="1" x14ac:dyDescent="0.3">
      <c r="C454" s="31"/>
      <c r="E454" s="31"/>
    </row>
    <row r="455" spans="3:5" ht="15.75" customHeight="1" x14ac:dyDescent="0.3">
      <c r="C455" s="31"/>
      <c r="E455" s="31"/>
    </row>
    <row r="456" spans="3:5" ht="15.75" customHeight="1" x14ac:dyDescent="0.3">
      <c r="C456" s="31"/>
      <c r="E456" s="31"/>
    </row>
    <row r="457" spans="3:5" ht="15.75" customHeight="1" x14ac:dyDescent="0.3">
      <c r="C457" s="31"/>
      <c r="E457" s="31"/>
    </row>
    <row r="458" spans="3:5" ht="15.75" customHeight="1" x14ac:dyDescent="0.3">
      <c r="C458" s="31"/>
      <c r="E458" s="31"/>
    </row>
    <row r="459" spans="3:5" ht="15.75" customHeight="1" x14ac:dyDescent="0.3">
      <c r="C459" s="31"/>
      <c r="E459" s="31"/>
    </row>
    <row r="460" spans="3:5" ht="15.75" customHeight="1" x14ac:dyDescent="0.3">
      <c r="C460" s="31"/>
      <c r="E460" s="31"/>
    </row>
    <row r="461" spans="3:5" ht="15.75" customHeight="1" x14ac:dyDescent="0.3">
      <c r="C461" s="31"/>
      <c r="E461" s="31"/>
    </row>
    <row r="462" spans="3:5" ht="15.75" customHeight="1" x14ac:dyDescent="0.3">
      <c r="C462" s="31"/>
      <c r="E462" s="31"/>
    </row>
    <row r="463" spans="3:5" ht="15.75" customHeight="1" x14ac:dyDescent="0.3">
      <c r="C463" s="31"/>
      <c r="E463" s="31"/>
    </row>
    <row r="464" spans="3:5" ht="15.75" customHeight="1" x14ac:dyDescent="0.3">
      <c r="C464" s="31"/>
      <c r="E464" s="31"/>
    </row>
    <row r="465" spans="3:5" ht="15.75" customHeight="1" x14ac:dyDescent="0.3">
      <c r="C465" s="31"/>
      <c r="E465" s="31"/>
    </row>
    <row r="466" spans="3:5" ht="15.75" customHeight="1" x14ac:dyDescent="0.3">
      <c r="C466" s="31"/>
      <c r="E466" s="31"/>
    </row>
    <row r="467" spans="3:5" ht="15.75" customHeight="1" x14ac:dyDescent="0.3">
      <c r="C467" s="31"/>
      <c r="E467" s="31"/>
    </row>
    <row r="468" spans="3:5" ht="15.75" customHeight="1" x14ac:dyDescent="0.3">
      <c r="C468" s="31"/>
      <c r="E468" s="31"/>
    </row>
    <row r="469" spans="3:5" ht="15.75" customHeight="1" x14ac:dyDescent="0.3">
      <c r="C469" s="31"/>
      <c r="E469" s="31"/>
    </row>
    <row r="470" spans="3:5" ht="15.75" customHeight="1" x14ac:dyDescent="0.3">
      <c r="C470" s="31"/>
      <c r="E470" s="31"/>
    </row>
    <row r="471" spans="3:5" ht="15.75" customHeight="1" x14ac:dyDescent="0.3">
      <c r="C471" s="31"/>
      <c r="E471" s="31"/>
    </row>
    <row r="472" spans="3:5" ht="15.75" customHeight="1" x14ac:dyDescent="0.3">
      <c r="C472" s="31"/>
      <c r="E472" s="31"/>
    </row>
    <row r="473" spans="3:5" ht="15.75" customHeight="1" x14ac:dyDescent="0.3">
      <c r="C473" s="31"/>
      <c r="E473" s="31"/>
    </row>
    <row r="474" spans="3:5" ht="15.75" customHeight="1" x14ac:dyDescent="0.3">
      <c r="C474" s="31"/>
      <c r="E474" s="31"/>
    </row>
    <row r="475" spans="3:5" ht="15.75" customHeight="1" x14ac:dyDescent="0.3">
      <c r="C475" s="31"/>
      <c r="E475" s="31"/>
    </row>
    <row r="476" spans="3:5" ht="15.75" customHeight="1" x14ac:dyDescent="0.3">
      <c r="C476" s="31"/>
      <c r="E476" s="31"/>
    </row>
    <row r="477" spans="3:5" ht="15.75" customHeight="1" x14ac:dyDescent="0.3">
      <c r="C477" s="31"/>
      <c r="E477" s="31"/>
    </row>
    <row r="478" spans="3:5" ht="15.75" customHeight="1" x14ac:dyDescent="0.3">
      <c r="C478" s="31"/>
      <c r="E478" s="31"/>
    </row>
    <row r="479" spans="3:5" ht="15.75" customHeight="1" x14ac:dyDescent="0.3">
      <c r="C479" s="31"/>
      <c r="E479" s="31"/>
    </row>
    <row r="480" spans="3:5" ht="15.75" customHeight="1" x14ac:dyDescent="0.3">
      <c r="C480" s="31"/>
      <c r="E480" s="31"/>
    </row>
    <row r="481" spans="3:5" ht="15.75" customHeight="1" x14ac:dyDescent="0.3">
      <c r="C481" s="31"/>
      <c r="E481" s="31"/>
    </row>
    <row r="482" spans="3:5" ht="15.75" customHeight="1" x14ac:dyDescent="0.3">
      <c r="C482" s="31"/>
      <c r="E482" s="31"/>
    </row>
    <row r="483" spans="3:5" ht="15.75" customHeight="1" x14ac:dyDescent="0.3">
      <c r="C483" s="31"/>
      <c r="E483" s="31"/>
    </row>
    <row r="484" spans="3:5" ht="15.75" customHeight="1" x14ac:dyDescent="0.3">
      <c r="C484" s="31"/>
      <c r="E484" s="31"/>
    </row>
    <row r="485" spans="3:5" ht="15.75" customHeight="1" x14ac:dyDescent="0.3">
      <c r="C485" s="31"/>
      <c r="E485" s="31"/>
    </row>
    <row r="486" spans="3:5" ht="15.75" customHeight="1" x14ac:dyDescent="0.3">
      <c r="C486" s="31"/>
      <c r="E486" s="31"/>
    </row>
    <row r="487" spans="3:5" ht="15.75" customHeight="1" x14ac:dyDescent="0.3">
      <c r="C487" s="31"/>
      <c r="E487" s="31"/>
    </row>
    <row r="488" spans="3:5" ht="15.75" customHeight="1" x14ac:dyDescent="0.3">
      <c r="C488" s="31"/>
      <c r="E488" s="31"/>
    </row>
    <row r="489" spans="3:5" ht="15.75" customHeight="1" x14ac:dyDescent="0.3">
      <c r="C489" s="31"/>
      <c r="E489" s="31"/>
    </row>
    <row r="490" spans="3:5" ht="15.75" customHeight="1" x14ac:dyDescent="0.3">
      <c r="C490" s="31"/>
      <c r="E490" s="31"/>
    </row>
    <row r="491" spans="3:5" ht="15.75" customHeight="1" x14ac:dyDescent="0.3">
      <c r="C491" s="31"/>
      <c r="E491" s="31"/>
    </row>
    <row r="492" spans="3:5" ht="15.75" customHeight="1" x14ac:dyDescent="0.3">
      <c r="C492" s="31"/>
      <c r="E492" s="31"/>
    </row>
    <row r="493" spans="3:5" ht="15.75" customHeight="1" x14ac:dyDescent="0.3">
      <c r="C493" s="31"/>
      <c r="E493" s="31"/>
    </row>
    <row r="494" spans="3:5" ht="15.75" customHeight="1" x14ac:dyDescent="0.3">
      <c r="C494" s="31"/>
      <c r="E494" s="31"/>
    </row>
    <row r="495" spans="3:5" ht="15.75" customHeight="1" x14ac:dyDescent="0.3">
      <c r="C495" s="31"/>
      <c r="E495" s="31"/>
    </row>
    <row r="496" spans="3:5" ht="15.75" customHeight="1" x14ac:dyDescent="0.3">
      <c r="C496" s="31"/>
      <c r="E496" s="31"/>
    </row>
    <row r="497" spans="3:5" ht="15.75" customHeight="1" x14ac:dyDescent="0.3">
      <c r="C497" s="31"/>
      <c r="E497" s="31"/>
    </row>
    <row r="498" spans="3:5" ht="15.75" customHeight="1" x14ac:dyDescent="0.3">
      <c r="C498" s="31"/>
      <c r="E498" s="31"/>
    </row>
    <row r="499" spans="3:5" ht="15.75" customHeight="1" x14ac:dyDescent="0.3">
      <c r="C499" s="31"/>
      <c r="E499" s="31"/>
    </row>
    <row r="500" spans="3:5" ht="15.75" customHeight="1" x14ac:dyDescent="0.3">
      <c r="C500" s="31"/>
      <c r="E500" s="31"/>
    </row>
    <row r="501" spans="3:5" ht="15.75" customHeight="1" x14ac:dyDescent="0.3"/>
    <row r="502" spans="3:5" ht="15.75" customHeight="1" x14ac:dyDescent="0.3"/>
    <row r="503" spans="3:5" ht="15.75" customHeight="1" x14ac:dyDescent="0.3"/>
    <row r="504" spans="3:5" ht="15.75" customHeight="1" x14ac:dyDescent="0.3"/>
    <row r="505" spans="3:5" ht="15.75" customHeight="1" x14ac:dyDescent="0.3"/>
    <row r="506" spans="3:5" ht="15.75" customHeight="1" x14ac:dyDescent="0.3"/>
    <row r="507" spans="3:5" ht="15.75" customHeight="1" x14ac:dyDescent="0.3"/>
    <row r="508" spans="3:5" ht="15.75" customHeight="1" x14ac:dyDescent="0.3"/>
    <row r="509" spans="3:5" ht="15.75" customHeight="1" x14ac:dyDescent="0.3"/>
    <row r="510" spans="3:5" ht="15.75" customHeight="1" x14ac:dyDescent="0.3"/>
    <row r="511" spans="3:5" ht="15.75" customHeight="1" x14ac:dyDescent="0.3"/>
    <row r="512" spans="3:5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1:H1"/>
    <mergeCell ref="B2:H2"/>
  </mergeCells>
  <dataValidations count="2">
    <dataValidation type="list" allowBlank="1" sqref="E5:E500" xr:uid="{00000000-0002-0000-0100-000000000000}">
      <formula1>"Persona 1,Persona 2,Ambos"</formula1>
    </dataValidation>
    <dataValidation type="list" allowBlank="1" sqref="C5:C500" xr:uid="{00000000-0002-0000-0100-000001000000}">
      <formula1>"Enero,Febrero,Marzo,Abril,Mayo,Junio,Julio,Agosto,Septiembre,Octubre,Noviembre,Diciembre"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showGridLines="0" topLeftCell="A4" workbookViewId="0"/>
  </sheetViews>
  <sheetFormatPr baseColWidth="10" defaultColWidth="14.44140625" defaultRowHeight="15" customHeight="1" x14ac:dyDescent="0.3"/>
  <cols>
    <col min="1" max="1" width="2" customWidth="1"/>
    <col min="2" max="2" width="4" customWidth="1"/>
    <col min="3" max="3" width="28" customWidth="1"/>
    <col min="4" max="4" width="20" customWidth="1"/>
    <col min="5" max="5" width="15" customWidth="1"/>
    <col min="6" max="6" width="12" customWidth="1"/>
    <col min="7" max="7" width="14" customWidth="1"/>
    <col min="8" max="8" width="10" customWidth="1"/>
    <col min="9" max="9" width="34" customWidth="1"/>
    <col min="10" max="26" width="8.6640625" customWidth="1"/>
  </cols>
  <sheetData>
    <row r="1" spans="2:10" ht="36" customHeight="1" x14ac:dyDescent="0.3">
      <c r="B1" s="133" t="s">
        <v>48</v>
      </c>
      <c r="C1" s="115"/>
      <c r="D1" s="115"/>
      <c r="E1" s="115"/>
      <c r="F1" s="115"/>
      <c r="G1" s="115"/>
      <c r="H1" s="115"/>
      <c r="I1" s="115"/>
      <c r="J1" s="115"/>
    </row>
    <row r="2" spans="2:10" ht="15" customHeight="1" x14ac:dyDescent="0.3">
      <c r="B2" s="135" t="s">
        <v>49</v>
      </c>
      <c r="C2" s="115"/>
      <c r="D2" s="115"/>
      <c r="E2" s="115"/>
      <c r="F2" s="115"/>
      <c r="G2" s="115"/>
      <c r="H2" s="115"/>
      <c r="I2" s="115"/>
      <c r="J2" s="115"/>
    </row>
    <row r="4" spans="2:10" ht="24" customHeight="1" x14ac:dyDescent="0.3">
      <c r="B4" s="32" t="s">
        <v>39</v>
      </c>
      <c r="C4" s="32" t="s">
        <v>50</v>
      </c>
      <c r="D4" s="32" t="s">
        <v>51</v>
      </c>
      <c r="E4" s="32" t="s">
        <v>52</v>
      </c>
      <c r="F4" s="32" t="s">
        <v>53</v>
      </c>
      <c r="G4" s="32" t="s">
        <v>54</v>
      </c>
      <c r="H4" s="32" t="s">
        <v>55</v>
      </c>
      <c r="I4" s="32" t="s">
        <v>44</v>
      </c>
    </row>
    <row r="5" spans="2:10" ht="14.4" x14ac:dyDescent="0.3">
      <c r="B5" s="33">
        <v>1</v>
      </c>
      <c r="C5" s="34" t="s">
        <v>56</v>
      </c>
      <c r="D5" s="35" t="s">
        <v>57</v>
      </c>
      <c r="E5" s="36">
        <v>900</v>
      </c>
      <c r="F5" s="37">
        <v>1</v>
      </c>
      <c r="G5" s="37" t="s">
        <v>58</v>
      </c>
      <c r="H5" s="38" t="s">
        <v>59</v>
      </c>
      <c r="I5" s="37"/>
    </row>
    <row r="6" spans="2:10" ht="14.4" x14ac:dyDescent="0.3">
      <c r="B6" s="39">
        <v>2</v>
      </c>
      <c r="C6" s="40" t="s">
        <v>60</v>
      </c>
      <c r="D6" s="41" t="s">
        <v>61</v>
      </c>
      <c r="E6" s="42">
        <v>80</v>
      </c>
      <c r="F6" s="43">
        <v>15</v>
      </c>
      <c r="G6" s="43" t="s">
        <v>58</v>
      </c>
      <c r="H6" s="44" t="s">
        <v>59</v>
      </c>
      <c r="I6" s="43" t="s">
        <v>62</v>
      </c>
    </row>
    <row r="7" spans="2:10" ht="14.4" x14ac:dyDescent="0.3">
      <c r="B7" s="39">
        <v>3</v>
      </c>
      <c r="C7" s="40" t="s">
        <v>63</v>
      </c>
      <c r="D7" s="41" t="s">
        <v>61</v>
      </c>
      <c r="E7" s="42">
        <v>50</v>
      </c>
      <c r="F7" s="43">
        <v>15</v>
      </c>
      <c r="G7" s="43" t="s">
        <v>58</v>
      </c>
      <c r="H7" s="44" t="s">
        <v>59</v>
      </c>
      <c r="I7" s="43" t="s">
        <v>64</v>
      </c>
    </row>
    <row r="8" spans="2:10" ht="14.4" x14ac:dyDescent="0.3">
      <c r="B8" s="39">
        <v>4</v>
      </c>
      <c r="C8" s="40" t="s">
        <v>65</v>
      </c>
      <c r="D8" s="41" t="s">
        <v>61</v>
      </c>
      <c r="E8" s="42">
        <v>25</v>
      </c>
      <c r="F8" s="43">
        <v>20</v>
      </c>
      <c r="G8" s="43" t="s">
        <v>58</v>
      </c>
      <c r="H8" s="44" t="s">
        <v>59</v>
      </c>
      <c r="I8" s="43"/>
    </row>
    <row r="9" spans="2:10" ht="14.4" x14ac:dyDescent="0.3">
      <c r="B9" s="39">
        <v>5</v>
      </c>
      <c r="C9" s="40" t="s">
        <v>66</v>
      </c>
      <c r="D9" s="41" t="s">
        <v>61</v>
      </c>
      <c r="E9" s="42">
        <v>45</v>
      </c>
      <c r="F9" s="43">
        <v>5</v>
      </c>
      <c r="G9" s="43" t="s">
        <v>58</v>
      </c>
      <c r="H9" s="44" t="s">
        <v>59</v>
      </c>
      <c r="I9" s="43" t="s">
        <v>67</v>
      </c>
    </row>
    <row r="10" spans="2:10" ht="14.4" x14ac:dyDescent="0.3">
      <c r="B10" s="39">
        <v>6</v>
      </c>
      <c r="C10" s="40" t="s">
        <v>68</v>
      </c>
      <c r="D10" s="41" t="s">
        <v>61</v>
      </c>
      <c r="E10" s="42">
        <v>20</v>
      </c>
      <c r="F10" s="43">
        <v>5</v>
      </c>
      <c r="G10" s="43" t="s">
        <v>58</v>
      </c>
      <c r="H10" s="44" t="s">
        <v>59</v>
      </c>
      <c r="I10" s="43"/>
    </row>
    <row r="11" spans="2:10" ht="14.4" x14ac:dyDescent="0.3">
      <c r="B11" s="39">
        <v>7</v>
      </c>
      <c r="C11" s="40" t="s">
        <v>69</v>
      </c>
      <c r="D11" s="41" t="s">
        <v>61</v>
      </c>
      <c r="E11" s="42">
        <v>20</v>
      </c>
      <c r="F11" s="43">
        <v>5</v>
      </c>
      <c r="G11" s="43" t="s">
        <v>58</v>
      </c>
      <c r="H11" s="44" t="s">
        <v>59</v>
      </c>
      <c r="I11" s="43"/>
    </row>
    <row r="12" spans="2:10" ht="14.4" x14ac:dyDescent="0.3">
      <c r="B12" s="45">
        <v>8</v>
      </c>
      <c r="C12" s="46" t="s">
        <v>70</v>
      </c>
      <c r="D12" s="47" t="s">
        <v>71</v>
      </c>
      <c r="E12" s="48">
        <v>18</v>
      </c>
      <c r="F12" s="49">
        <v>10</v>
      </c>
      <c r="G12" s="49" t="s">
        <v>58</v>
      </c>
      <c r="H12" s="50" t="s">
        <v>59</v>
      </c>
      <c r="I12" s="49"/>
    </row>
    <row r="13" spans="2:10" ht="14.4" x14ac:dyDescent="0.3">
      <c r="B13" s="45">
        <v>9</v>
      </c>
      <c r="C13" s="46" t="s">
        <v>72</v>
      </c>
      <c r="D13" s="47" t="s">
        <v>71</v>
      </c>
      <c r="E13" s="48">
        <v>11</v>
      </c>
      <c r="F13" s="49">
        <v>10</v>
      </c>
      <c r="G13" s="49" t="s">
        <v>58</v>
      </c>
      <c r="H13" s="50" t="s">
        <v>59</v>
      </c>
      <c r="I13" s="49"/>
    </row>
    <row r="14" spans="2:10" ht="14.4" x14ac:dyDescent="0.3">
      <c r="B14" s="45">
        <v>10</v>
      </c>
      <c r="C14" s="46" t="s">
        <v>73</v>
      </c>
      <c r="D14" s="47" t="s">
        <v>71</v>
      </c>
      <c r="E14" s="48">
        <v>5</v>
      </c>
      <c r="F14" s="49">
        <v>22</v>
      </c>
      <c r="G14" s="49" t="s">
        <v>58</v>
      </c>
      <c r="H14" s="50" t="s">
        <v>59</v>
      </c>
      <c r="I14" s="49"/>
    </row>
    <row r="15" spans="2:10" ht="14.4" x14ac:dyDescent="0.3">
      <c r="B15" s="51">
        <v>11</v>
      </c>
      <c r="C15" s="52" t="s">
        <v>74</v>
      </c>
      <c r="D15" s="53" t="s">
        <v>75</v>
      </c>
      <c r="E15" s="54">
        <v>30</v>
      </c>
      <c r="F15" s="55">
        <v>1</v>
      </c>
      <c r="G15" s="55" t="s">
        <v>58</v>
      </c>
      <c r="H15" s="56" t="s">
        <v>59</v>
      </c>
      <c r="I15" s="55"/>
    </row>
    <row r="16" spans="2:10" ht="14.4" x14ac:dyDescent="0.3">
      <c r="B16" s="33">
        <v>12</v>
      </c>
      <c r="C16" s="34" t="s">
        <v>76</v>
      </c>
      <c r="D16" s="35" t="s">
        <v>57</v>
      </c>
      <c r="E16" s="36">
        <v>35</v>
      </c>
      <c r="F16" s="37">
        <v>1</v>
      </c>
      <c r="G16" s="37" t="s">
        <v>58</v>
      </c>
      <c r="H16" s="38" t="s">
        <v>59</v>
      </c>
      <c r="I16" s="37" t="s">
        <v>77</v>
      </c>
    </row>
    <row r="17" spans="2:9" ht="14.4" x14ac:dyDescent="0.3">
      <c r="B17" s="57">
        <v>13</v>
      </c>
      <c r="C17" s="58" t="s">
        <v>78</v>
      </c>
      <c r="D17" s="59" t="s">
        <v>79</v>
      </c>
      <c r="E17" s="60">
        <v>55</v>
      </c>
      <c r="F17" s="61">
        <v>1</v>
      </c>
      <c r="G17" s="61" t="s">
        <v>58</v>
      </c>
      <c r="H17" s="62" t="s">
        <v>59</v>
      </c>
      <c r="I17" s="61" t="s">
        <v>80</v>
      </c>
    </row>
    <row r="18" spans="2:9" ht="14.4" x14ac:dyDescent="0.3">
      <c r="B18" s="51">
        <v>14</v>
      </c>
      <c r="C18" s="52" t="s">
        <v>81</v>
      </c>
      <c r="D18" s="53" t="s">
        <v>75</v>
      </c>
      <c r="E18" s="54">
        <v>80</v>
      </c>
      <c r="F18" s="55">
        <v>1</v>
      </c>
      <c r="G18" s="55" t="s">
        <v>58</v>
      </c>
      <c r="H18" s="56" t="s">
        <v>59</v>
      </c>
      <c r="I18" s="55" t="s">
        <v>82</v>
      </c>
    </row>
    <row r="19" spans="2:9" ht="14.4" x14ac:dyDescent="0.3">
      <c r="B19" s="33">
        <v>15</v>
      </c>
      <c r="C19" s="34" t="s">
        <v>83</v>
      </c>
      <c r="D19" s="35" t="s">
        <v>57</v>
      </c>
      <c r="E19" s="36">
        <v>40</v>
      </c>
      <c r="F19" s="37">
        <v>1</v>
      </c>
      <c r="G19" s="37" t="s">
        <v>58</v>
      </c>
      <c r="H19" s="38" t="s">
        <v>59</v>
      </c>
      <c r="I19" s="37"/>
    </row>
    <row r="20" spans="2:9" ht="14.4" x14ac:dyDescent="0.3">
      <c r="B20" s="33">
        <v>16</v>
      </c>
      <c r="C20" s="34" t="s">
        <v>84</v>
      </c>
      <c r="D20" s="35" t="s">
        <v>57</v>
      </c>
      <c r="E20" s="36">
        <v>25</v>
      </c>
      <c r="F20" s="37">
        <v>1</v>
      </c>
      <c r="G20" s="37" t="s">
        <v>58</v>
      </c>
      <c r="H20" s="63" t="s">
        <v>85</v>
      </c>
      <c r="I20" s="37" t="s">
        <v>86</v>
      </c>
    </row>
    <row r="21" spans="2:9" ht="15.75" customHeight="1" x14ac:dyDescent="0.3">
      <c r="B21" s="64">
        <v>17</v>
      </c>
      <c r="C21" s="65" t="s">
        <v>87</v>
      </c>
      <c r="D21" s="66" t="s">
        <v>88</v>
      </c>
      <c r="E21" s="67">
        <v>3</v>
      </c>
      <c r="F21" s="68">
        <v>15</v>
      </c>
      <c r="G21" s="68" t="s">
        <v>58</v>
      </c>
      <c r="H21" s="69" t="s">
        <v>59</v>
      </c>
      <c r="I21" s="68"/>
    </row>
    <row r="22" spans="2:9" ht="15.75" customHeight="1" x14ac:dyDescent="0.3">
      <c r="B22" s="70"/>
      <c r="C22" s="70"/>
      <c r="D22" s="70"/>
      <c r="E22" s="71"/>
      <c r="F22" s="70"/>
      <c r="G22" s="70"/>
      <c r="H22" s="70"/>
      <c r="I22" s="70"/>
    </row>
    <row r="23" spans="2:9" ht="15.75" customHeight="1" x14ac:dyDescent="0.3">
      <c r="B23" s="29"/>
      <c r="C23" s="29"/>
      <c r="D23" s="29"/>
      <c r="E23" s="30"/>
      <c r="F23" s="29"/>
      <c r="G23" s="29"/>
      <c r="H23" s="29"/>
      <c r="I23" s="29"/>
    </row>
    <row r="24" spans="2:9" ht="15.75" customHeight="1" x14ac:dyDescent="0.3">
      <c r="B24" s="70"/>
      <c r="C24" s="70"/>
      <c r="D24" s="70"/>
      <c r="E24" s="71"/>
      <c r="F24" s="70"/>
      <c r="G24" s="70"/>
      <c r="H24" s="70"/>
      <c r="I24" s="70"/>
    </row>
    <row r="25" spans="2:9" ht="15.75" customHeight="1" x14ac:dyDescent="0.3">
      <c r="B25" s="29"/>
      <c r="C25" s="29"/>
      <c r="D25" s="29"/>
      <c r="E25" s="30"/>
      <c r="F25" s="29"/>
      <c r="G25" s="29"/>
      <c r="H25" s="29"/>
      <c r="I25" s="29"/>
    </row>
    <row r="26" spans="2:9" ht="15.75" customHeight="1" x14ac:dyDescent="0.3">
      <c r="B26" s="70"/>
      <c r="C26" s="70"/>
      <c r="D26" s="70"/>
      <c r="E26" s="71"/>
      <c r="F26" s="70"/>
      <c r="G26" s="70"/>
      <c r="H26" s="70"/>
      <c r="I26" s="70"/>
    </row>
    <row r="27" spans="2:9" ht="15.75" customHeight="1" x14ac:dyDescent="0.3">
      <c r="B27" s="29"/>
      <c r="C27" s="29"/>
      <c r="D27" s="29"/>
      <c r="E27" s="30"/>
      <c r="F27" s="29"/>
      <c r="G27" s="29"/>
      <c r="H27" s="29"/>
      <c r="I27" s="29"/>
    </row>
    <row r="28" spans="2:9" ht="15.75" customHeight="1" x14ac:dyDescent="0.3">
      <c r="B28" s="70"/>
      <c r="C28" s="70"/>
      <c r="D28" s="70"/>
      <c r="E28" s="71"/>
      <c r="F28" s="70"/>
      <c r="G28" s="70"/>
      <c r="H28" s="70"/>
      <c r="I28" s="70"/>
    </row>
    <row r="29" spans="2:9" ht="15.75" customHeight="1" x14ac:dyDescent="0.3">
      <c r="B29" s="29"/>
      <c r="C29" s="29"/>
      <c r="D29" s="29"/>
      <c r="E29" s="30"/>
      <c r="F29" s="29"/>
      <c r="G29" s="29"/>
      <c r="H29" s="29"/>
      <c r="I29" s="29"/>
    </row>
    <row r="30" spans="2:9" ht="15.75" customHeight="1" x14ac:dyDescent="0.3">
      <c r="B30" s="70"/>
      <c r="C30" s="70"/>
      <c r="D30" s="70"/>
      <c r="E30" s="71"/>
      <c r="F30" s="70"/>
      <c r="G30" s="70"/>
      <c r="H30" s="70"/>
      <c r="I30" s="70"/>
    </row>
    <row r="31" spans="2:9" ht="15.75" customHeight="1" x14ac:dyDescent="0.3">
      <c r="B31" s="29"/>
      <c r="C31" s="29"/>
      <c r="D31" s="29"/>
      <c r="E31" s="30"/>
      <c r="F31" s="29"/>
      <c r="G31" s="29"/>
      <c r="H31" s="29"/>
      <c r="I31" s="29"/>
    </row>
    <row r="32" spans="2:9" ht="15.75" customHeight="1" x14ac:dyDescent="0.3">
      <c r="B32" s="70"/>
      <c r="C32" s="70"/>
      <c r="D32" s="70"/>
      <c r="E32" s="71"/>
      <c r="F32" s="70"/>
      <c r="G32" s="70"/>
      <c r="H32" s="70"/>
      <c r="I32" s="70"/>
    </row>
    <row r="33" spans="2:9" ht="15.75" customHeight="1" x14ac:dyDescent="0.3">
      <c r="B33" s="29"/>
      <c r="C33" s="29"/>
      <c r="D33" s="29"/>
      <c r="E33" s="30"/>
      <c r="F33" s="29"/>
      <c r="G33" s="29"/>
      <c r="H33" s="29"/>
      <c r="I33" s="29"/>
    </row>
    <row r="34" spans="2:9" ht="15.75" customHeight="1" x14ac:dyDescent="0.3">
      <c r="B34" s="70"/>
      <c r="C34" s="70"/>
      <c r="D34" s="70"/>
      <c r="E34" s="71"/>
      <c r="F34" s="70"/>
      <c r="G34" s="70"/>
      <c r="H34" s="70"/>
      <c r="I34" s="70"/>
    </row>
    <row r="35" spans="2:9" ht="15.75" customHeight="1" x14ac:dyDescent="0.3">
      <c r="B35" s="29"/>
      <c r="C35" s="29"/>
      <c r="D35" s="29"/>
      <c r="E35" s="30"/>
      <c r="F35" s="29"/>
      <c r="G35" s="29"/>
      <c r="H35" s="29"/>
      <c r="I35" s="29"/>
    </row>
    <row r="36" spans="2:9" ht="15.75" customHeight="1" x14ac:dyDescent="0.3">
      <c r="B36" s="70"/>
      <c r="C36" s="70"/>
      <c r="D36" s="70"/>
      <c r="E36" s="71"/>
      <c r="F36" s="70"/>
      <c r="G36" s="70"/>
      <c r="H36" s="70"/>
      <c r="I36" s="70"/>
    </row>
    <row r="37" spans="2:9" ht="15.75" customHeight="1" x14ac:dyDescent="0.3">
      <c r="B37" s="29"/>
      <c r="C37" s="29"/>
      <c r="D37" s="29"/>
      <c r="E37" s="30"/>
      <c r="F37" s="29"/>
      <c r="G37" s="29"/>
      <c r="H37" s="29"/>
      <c r="I37" s="29"/>
    </row>
    <row r="38" spans="2:9" ht="15.75" customHeight="1" x14ac:dyDescent="0.3">
      <c r="B38" s="70"/>
      <c r="C38" s="70"/>
      <c r="D38" s="70"/>
      <c r="E38" s="71"/>
      <c r="F38" s="70"/>
      <c r="G38" s="70"/>
      <c r="H38" s="70"/>
      <c r="I38" s="70"/>
    </row>
    <row r="39" spans="2:9" ht="15.75" customHeight="1" x14ac:dyDescent="0.3">
      <c r="B39" s="29"/>
      <c r="C39" s="29"/>
      <c r="D39" s="29"/>
      <c r="E39" s="30"/>
      <c r="F39" s="29"/>
      <c r="G39" s="29"/>
      <c r="H39" s="29"/>
      <c r="I39" s="29"/>
    </row>
    <row r="40" spans="2:9" ht="15.75" customHeight="1" x14ac:dyDescent="0.3">
      <c r="B40" s="70"/>
      <c r="C40" s="70"/>
      <c r="D40" s="70"/>
      <c r="E40" s="71"/>
      <c r="F40" s="70"/>
      <c r="G40" s="70"/>
      <c r="H40" s="70"/>
      <c r="I40" s="70"/>
    </row>
    <row r="41" spans="2:9" ht="15.75" customHeight="1" x14ac:dyDescent="0.3">
      <c r="B41" s="29"/>
      <c r="C41" s="29"/>
      <c r="D41" s="29"/>
      <c r="E41" s="30"/>
      <c r="F41" s="29"/>
      <c r="G41" s="29"/>
      <c r="H41" s="29"/>
      <c r="I41" s="29"/>
    </row>
    <row r="42" spans="2:9" ht="15.75" customHeight="1" x14ac:dyDescent="0.3">
      <c r="D42" s="31"/>
      <c r="G42" s="31"/>
      <c r="H42" s="31"/>
    </row>
    <row r="43" spans="2:9" ht="15.75" customHeight="1" x14ac:dyDescent="0.3">
      <c r="D43" s="31"/>
      <c r="G43" s="31"/>
      <c r="H43" s="31"/>
    </row>
    <row r="44" spans="2:9" ht="15" customHeight="1" x14ac:dyDescent="0.3">
      <c r="B44" s="134" t="s">
        <v>89</v>
      </c>
      <c r="C44" s="111"/>
      <c r="D44" s="111"/>
      <c r="E44" s="72">
        <f>SUMIF(H5:H500,"✅",E5:E500)</f>
        <v>1417</v>
      </c>
      <c r="G44" s="31"/>
      <c r="H44" s="31"/>
    </row>
    <row r="45" spans="2:9" ht="15.75" customHeight="1" x14ac:dyDescent="0.3">
      <c r="D45" s="31"/>
      <c r="G45" s="31"/>
      <c r="H45" s="31"/>
    </row>
    <row r="46" spans="2:9" ht="15.75" customHeight="1" x14ac:dyDescent="0.3">
      <c r="D46" s="31"/>
      <c r="G46" s="31"/>
      <c r="H46" s="31"/>
    </row>
    <row r="47" spans="2:9" ht="15.75" customHeight="1" x14ac:dyDescent="0.3">
      <c r="D47" s="31"/>
      <c r="G47" s="31"/>
      <c r="H47" s="31"/>
    </row>
    <row r="48" spans="2:9" ht="15.75" customHeight="1" x14ac:dyDescent="0.3">
      <c r="D48" s="31"/>
      <c r="G48" s="31"/>
      <c r="H48" s="31"/>
    </row>
    <row r="49" spans="4:8" ht="15.75" customHeight="1" x14ac:dyDescent="0.3">
      <c r="D49" s="31"/>
      <c r="G49" s="31"/>
      <c r="H49" s="31"/>
    </row>
    <row r="50" spans="4:8" ht="15.75" customHeight="1" x14ac:dyDescent="0.3">
      <c r="D50" s="31"/>
      <c r="G50" s="31"/>
      <c r="H50" s="31"/>
    </row>
    <row r="51" spans="4:8" ht="15.75" customHeight="1" x14ac:dyDescent="0.3">
      <c r="D51" s="31"/>
      <c r="G51" s="31"/>
      <c r="H51" s="31"/>
    </row>
    <row r="52" spans="4:8" ht="15.75" customHeight="1" x14ac:dyDescent="0.3">
      <c r="D52" s="31"/>
      <c r="G52" s="31"/>
      <c r="H52" s="31"/>
    </row>
    <row r="53" spans="4:8" ht="15.75" customHeight="1" x14ac:dyDescent="0.3">
      <c r="D53" s="31"/>
      <c r="G53" s="31"/>
      <c r="H53" s="31"/>
    </row>
    <row r="54" spans="4:8" ht="15.75" customHeight="1" x14ac:dyDescent="0.3">
      <c r="D54" s="31"/>
      <c r="G54" s="31"/>
      <c r="H54" s="31"/>
    </row>
    <row r="55" spans="4:8" ht="15.75" customHeight="1" x14ac:dyDescent="0.3">
      <c r="D55" s="31"/>
      <c r="G55" s="31"/>
      <c r="H55" s="31"/>
    </row>
    <row r="56" spans="4:8" ht="15.75" customHeight="1" x14ac:dyDescent="0.3">
      <c r="D56" s="31"/>
      <c r="G56" s="31"/>
      <c r="H56" s="31"/>
    </row>
    <row r="57" spans="4:8" ht="15.75" customHeight="1" x14ac:dyDescent="0.3">
      <c r="D57" s="31"/>
      <c r="G57" s="31"/>
      <c r="H57" s="31"/>
    </row>
    <row r="58" spans="4:8" ht="15.75" customHeight="1" x14ac:dyDescent="0.3">
      <c r="D58" s="31"/>
      <c r="G58" s="31"/>
      <c r="H58" s="31"/>
    </row>
    <row r="59" spans="4:8" ht="15.75" customHeight="1" x14ac:dyDescent="0.3">
      <c r="D59" s="31"/>
      <c r="G59" s="31"/>
      <c r="H59" s="31"/>
    </row>
    <row r="60" spans="4:8" ht="15.75" customHeight="1" x14ac:dyDescent="0.3">
      <c r="D60" s="31"/>
      <c r="G60" s="31"/>
      <c r="H60" s="31"/>
    </row>
    <row r="61" spans="4:8" ht="15.75" customHeight="1" x14ac:dyDescent="0.3">
      <c r="D61" s="31"/>
      <c r="G61" s="31"/>
      <c r="H61" s="31"/>
    </row>
    <row r="62" spans="4:8" ht="15.75" customHeight="1" x14ac:dyDescent="0.3">
      <c r="D62" s="31"/>
      <c r="G62" s="31"/>
      <c r="H62" s="31"/>
    </row>
    <row r="63" spans="4:8" ht="15.75" customHeight="1" x14ac:dyDescent="0.3">
      <c r="D63" s="31"/>
      <c r="G63" s="31"/>
      <c r="H63" s="31"/>
    </row>
    <row r="64" spans="4:8" ht="15.75" customHeight="1" x14ac:dyDescent="0.3">
      <c r="D64" s="31"/>
      <c r="G64" s="31"/>
      <c r="H64" s="31"/>
    </row>
    <row r="65" spans="4:8" ht="15.75" customHeight="1" x14ac:dyDescent="0.3">
      <c r="D65" s="31"/>
      <c r="G65" s="31"/>
      <c r="H65" s="31"/>
    </row>
    <row r="66" spans="4:8" ht="15.75" customHeight="1" x14ac:dyDescent="0.3">
      <c r="D66" s="31"/>
      <c r="G66" s="31"/>
      <c r="H66" s="31"/>
    </row>
    <row r="67" spans="4:8" ht="15.75" customHeight="1" x14ac:dyDescent="0.3">
      <c r="D67" s="31"/>
      <c r="G67" s="31"/>
      <c r="H67" s="31"/>
    </row>
    <row r="68" spans="4:8" ht="15.75" customHeight="1" x14ac:dyDescent="0.3">
      <c r="D68" s="31"/>
      <c r="G68" s="31"/>
      <c r="H68" s="31"/>
    </row>
    <row r="69" spans="4:8" ht="15.75" customHeight="1" x14ac:dyDescent="0.3">
      <c r="D69" s="31"/>
      <c r="G69" s="31"/>
      <c r="H69" s="31"/>
    </row>
    <row r="70" spans="4:8" ht="15.75" customHeight="1" x14ac:dyDescent="0.3">
      <c r="D70" s="31"/>
      <c r="G70" s="31"/>
      <c r="H70" s="31"/>
    </row>
    <row r="71" spans="4:8" ht="15.75" customHeight="1" x14ac:dyDescent="0.3">
      <c r="D71" s="31"/>
      <c r="G71" s="31"/>
      <c r="H71" s="31"/>
    </row>
    <row r="72" spans="4:8" ht="15.75" customHeight="1" x14ac:dyDescent="0.3">
      <c r="D72" s="31"/>
      <c r="G72" s="31"/>
      <c r="H72" s="31"/>
    </row>
    <row r="73" spans="4:8" ht="15.75" customHeight="1" x14ac:dyDescent="0.3">
      <c r="D73" s="31"/>
      <c r="G73" s="31"/>
      <c r="H73" s="31"/>
    </row>
    <row r="74" spans="4:8" ht="15.75" customHeight="1" x14ac:dyDescent="0.3">
      <c r="D74" s="31"/>
      <c r="G74" s="31"/>
      <c r="H74" s="31"/>
    </row>
    <row r="75" spans="4:8" ht="15.75" customHeight="1" x14ac:dyDescent="0.3">
      <c r="D75" s="31"/>
      <c r="G75" s="31"/>
      <c r="H75" s="31"/>
    </row>
    <row r="76" spans="4:8" ht="15.75" customHeight="1" x14ac:dyDescent="0.3">
      <c r="D76" s="31"/>
      <c r="G76" s="31"/>
      <c r="H76" s="31"/>
    </row>
    <row r="77" spans="4:8" ht="15.75" customHeight="1" x14ac:dyDescent="0.3">
      <c r="D77" s="31"/>
      <c r="G77" s="31"/>
      <c r="H77" s="31"/>
    </row>
    <row r="78" spans="4:8" ht="15.75" customHeight="1" x14ac:dyDescent="0.3">
      <c r="D78" s="31"/>
      <c r="G78" s="31"/>
      <c r="H78" s="31"/>
    </row>
    <row r="79" spans="4:8" ht="15.75" customHeight="1" x14ac:dyDescent="0.3">
      <c r="D79" s="31"/>
      <c r="G79" s="31"/>
      <c r="H79" s="31"/>
    </row>
    <row r="80" spans="4:8" ht="15.75" customHeight="1" x14ac:dyDescent="0.3">
      <c r="D80" s="31"/>
      <c r="G80" s="31"/>
      <c r="H80" s="31"/>
    </row>
    <row r="81" spans="4:8" ht="15.75" customHeight="1" x14ac:dyDescent="0.3">
      <c r="D81" s="31"/>
      <c r="G81" s="31"/>
      <c r="H81" s="31"/>
    </row>
    <row r="82" spans="4:8" ht="15.75" customHeight="1" x14ac:dyDescent="0.3">
      <c r="D82" s="31"/>
      <c r="G82" s="31"/>
      <c r="H82" s="31"/>
    </row>
    <row r="83" spans="4:8" ht="15.75" customHeight="1" x14ac:dyDescent="0.3">
      <c r="D83" s="31"/>
      <c r="G83" s="31"/>
      <c r="H83" s="31"/>
    </row>
    <row r="84" spans="4:8" ht="15.75" customHeight="1" x14ac:dyDescent="0.3">
      <c r="D84" s="31"/>
      <c r="G84" s="31"/>
      <c r="H84" s="31"/>
    </row>
    <row r="85" spans="4:8" ht="15.75" customHeight="1" x14ac:dyDescent="0.3">
      <c r="D85" s="31"/>
      <c r="G85" s="31"/>
      <c r="H85" s="31"/>
    </row>
    <row r="86" spans="4:8" ht="15.75" customHeight="1" x14ac:dyDescent="0.3">
      <c r="D86" s="31"/>
      <c r="G86" s="31"/>
      <c r="H86" s="31"/>
    </row>
    <row r="87" spans="4:8" ht="15.75" customHeight="1" x14ac:dyDescent="0.3">
      <c r="D87" s="31"/>
      <c r="G87" s="31"/>
      <c r="H87" s="31"/>
    </row>
    <row r="88" spans="4:8" ht="15.75" customHeight="1" x14ac:dyDescent="0.3">
      <c r="D88" s="31"/>
      <c r="G88" s="31"/>
      <c r="H88" s="31"/>
    </row>
    <row r="89" spans="4:8" ht="15.75" customHeight="1" x14ac:dyDescent="0.3">
      <c r="D89" s="31"/>
      <c r="G89" s="31"/>
      <c r="H89" s="31"/>
    </row>
    <row r="90" spans="4:8" ht="15.75" customHeight="1" x14ac:dyDescent="0.3">
      <c r="D90" s="31"/>
      <c r="G90" s="31"/>
      <c r="H90" s="31"/>
    </row>
    <row r="91" spans="4:8" ht="15.75" customHeight="1" x14ac:dyDescent="0.3">
      <c r="D91" s="31"/>
      <c r="G91" s="31"/>
      <c r="H91" s="31"/>
    </row>
    <row r="92" spans="4:8" ht="15.75" customHeight="1" x14ac:dyDescent="0.3">
      <c r="D92" s="31"/>
      <c r="G92" s="31"/>
      <c r="H92" s="31"/>
    </row>
    <row r="93" spans="4:8" ht="15.75" customHeight="1" x14ac:dyDescent="0.3">
      <c r="D93" s="31"/>
      <c r="G93" s="31"/>
      <c r="H93" s="31"/>
    </row>
    <row r="94" spans="4:8" ht="15.75" customHeight="1" x14ac:dyDescent="0.3">
      <c r="D94" s="31"/>
      <c r="G94" s="31"/>
      <c r="H94" s="31"/>
    </row>
    <row r="95" spans="4:8" ht="15.75" customHeight="1" x14ac:dyDescent="0.3">
      <c r="D95" s="31"/>
      <c r="G95" s="31"/>
      <c r="H95" s="31"/>
    </row>
    <row r="96" spans="4:8" ht="15.75" customHeight="1" x14ac:dyDescent="0.3">
      <c r="D96" s="31"/>
      <c r="G96" s="31"/>
      <c r="H96" s="31"/>
    </row>
    <row r="97" spans="4:8" ht="15.75" customHeight="1" x14ac:dyDescent="0.3">
      <c r="D97" s="31"/>
      <c r="G97" s="31"/>
      <c r="H97" s="31"/>
    </row>
    <row r="98" spans="4:8" ht="15.75" customHeight="1" x14ac:dyDescent="0.3">
      <c r="D98" s="31"/>
      <c r="G98" s="31"/>
      <c r="H98" s="31"/>
    </row>
    <row r="99" spans="4:8" ht="15.75" customHeight="1" x14ac:dyDescent="0.3">
      <c r="D99" s="31"/>
      <c r="G99" s="31"/>
      <c r="H99" s="31"/>
    </row>
    <row r="100" spans="4:8" ht="15.75" customHeight="1" x14ac:dyDescent="0.3">
      <c r="D100" s="31"/>
      <c r="G100" s="31"/>
      <c r="H100" s="31"/>
    </row>
    <row r="101" spans="4:8" ht="15.75" customHeight="1" x14ac:dyDescent="0.3">
      <c r="D101" s="31"/>
      <c r="G101" s="31"/>
      <c r="H101" s="31"/>
    </row>
    <row r="102" spans="4:8" ht="15.75" customHeight="1" x14ac:dyDescent="0.3">
      <c r="D102" s="31"/>
      <c r="G102" s="31"/>
      <c r="H102" s="31"/>
    </row>
    <row r="103" spans="4:8" ht="15.75" customHeight="1" x14ac:dyDescent="0.3">
      <c r="D103" s="31"/>
      <c r="G103" s="31"/>
      <c r="H103" s="31"/>
    </row>
    <row r="104" spans="4:8" ht="15.75" customHeight="1" x14ac:dyDescent="0.3">
      <c r="D104" s="31"/>
      <c r="G104" s="31"/>
      <c r="H104" s="31"/>
    </row>
    <row r="105" spans="4:8" ht="15.75" customHeight="1" x14ac:dyDescent="0.3">
      <c r="D105" s="31"/>
      <c r="G105" s="31"/>
      <c r="H105" s="31"/>
    </row>
    <row r="106" spans="4:8" ht="15.75" customHeight="1" x14ac:dyDescent="0.3">
      <c r="D106" s="31"/>
      <c r="G106" s="31"/>
      <c r="H106" s="31"/>
    </row>
    <row r="107" spans="4:8" ht="15.75" customHeight="1" x14ac:dyDescent="0.3">
      <c r="D107" s="31"/>
      <c r="G107" s="31"/>
      <c r="H107" s="31"/>
    </row>
    <row r="108" spans="4:8" ht="15.75" customHeight="1" x14ac:dyDescent="0.3">
      <c r="D108" s="31"/>
      <c r="G108" s="31"/>
      <c r="H108" s="31"/>
    </row>
    <row r="109" spans="4:8" ht="15.75" customHeight="1" x14ac:dyDescent="0.3">
      <c r="D109" s="31"/>
      <c r="G109" s="31"/>
      <c r="H109" s="31"/>
    </row>
    <row r="110" spans="4:8" ht="15.75" customHeight="1" x14ac:dyDescent="0.3">
      <c r="D110" s="31"/>
      <c r="G110" s="31"/>
      <c r="H110" s="31"/>
    </row>
    <row r="111" spans="4:8" ht="15.75" customHeight="1" x14ac:dyDescent="0.3">
      <c r="D111" s="31"/>
      <c r="G111" s="31"/>
      <c r="H111" s="31"/>
    </row>
    <row r="112" spans="4:8" ht="15.75" customHeight="1" x14ac:dyDescent="0.3">
      <c r="D112" s="31"/>
      <c r="G112" s="31"/>
      <c r="H112" s="31"/>
    </row>
    <row r="113" spans="4:8" ht="15.75" customHeight="1" x14ac:dyDescent="0.3">
      <c r="D113" s="31"/>
      <c r="G113" s="31"/>
      <c r="H113" s="31"/>
    </row>
    <row r="114" spans="4:8" ht="15.75" customHeight="1" x14ac:dyDescent="0.3">
      <c r="D114" s="31"/>
      <c r="G114" s="31"/>
      <c r="H114" s="31"/>
    </row>
    <row r="115" spans="4:8" ht="15.75" customHeight="1" x14ac:dyDescent="0.3">
      <c r="D115" s="31"/>
      <c r="G115" s="31"/>
      <c r="H115" s="31"/>
    </row>
    <row r="116" spans="4:8" ht="15.75" customHeight="1" x14ac:dyDescent="0.3">
      <c r="D116" s="31"/>
      <c r="G116" s="31"/>
      <c r="H116" s="31"/>
    </row>
    <row r="117" spans="4:8" ht="15.75" customHeight="1" x14ac:dyDescent="0.3">
      <c r="D117" s="31"/>
      <c r="G117" s="31"/>
      <c r="H117" s="31"/>
    </row>
    <row r="118" spans="4:8" ht="15.75" customHeight="1" x14ac:dyDescent="0.3">
      <c r="D118" s="31"/>
      <c r="G118" s="31"/>
      <c r="H118" s="31"/>
    </row>
    <row r="119" spans="4:8" ht="15.75" customHeight="1" x14ac:dyDescent="0.3">
      <c r="D119" s="31"/>
      <c r="G119" s="31"/>
      <c r="H119" s="31"/>
    </row>
    <row r="120" spans="4:8" ht="15.75" customHeight="1" x14ac:dyDescent="0.3">
      <c r="D120" s="31"/>
      <c r="G120" s="31"/>
      <c r="H120" s="31"/>
    </row>
    <row r="121" spans="4:8" ht="15.75" customHeight="1" x14ac:dyDescent="0.3">
      <c r="D121" s="31"/>
      <c r="G121" s="31"/>
      <c r="H121" s="31"/>
    </row>
    <row r="122" spans="4:8" ht="15.75" customHeight="1" x14ac:dyDescent="0.3">
      <c r="D122" s="31"/>
      <c r="G122" s="31"/>
      <c r="H122" s="31"/>
    </row>
    <row r="123" spans="4:8" ht="15.75" customHeight="1" x14ac:dyDescent="0.3">
      <c r="D123" s="31"/>
      <c r="G123" s="31"/>
      <c r="H123" s="31"/>
    </row>
    <row r="124" spans="4:8" ht="15.75" customHeight="1" x14ac:dyDescent="0.3">
      <c r="D124" s="31"/>
      <c r="G124" s="31"/>
      <c r="H124" s="31"/>
    </row>
    <row r="125" spans="4:8" ht="15.75" customHeight="1" x14ac:dyDescent="0.3">
      <c r="D125" s="31"/>
      <c r="G125" s="31"/>
      <c r="H125" s="31"/>
    </row>
    <row r="126" spans="4:8" ht="15.75" customHeight="1" x14ac:dyDescent="0.3">
      <c r="D126" s="31"/>
      <c r="G126" s="31"/>
      <c r="H126" s="31"/>
    </row>
    <row r="127" spans="4:8" ht="15.75" customHeight="1" x14ac:dyDescent="0.3">
      <c r="D127" s="31"/>
      <c r="G127" s="31"/>
      <c r="H127" s="31"/>
    </row>
    <row r="128" spans="4:8" ht="15.75" customHeight="1" x14ac:dyDescent="0.3">
      <c r="D128" s="31"/>
      <c r="G128" s="31"/>
      <c r="H128" s="31"/>
    </row>
    <row r="129" spans="4:8" ht="15.75" customHeight="1" x14ac:dyDescent="0.3">
      <c r="D129" s="31"/>
      <c r="G129" s="31"/>
      <c r="H129" s="31"/>
    </row>
    <row r="130" spans="4:8" ht="15.75" customHeight="1" x14ac:dyDescent="0.3">
      <c r="D130" s="31"/>
      <c r="G130" s="31"/>
      <c r="H130" s="31"/>
    </row>
    <row r="131" spans="4:8" ht="15.75" customHeight="1" x14ac:dyDescent="0.3">
      <c r="D131" s="31"/>
      <c r="G131" s="31"/>
      <c r="H131" s="31"/>
    </row>
    <row r="132" spans="4:8" ht="15.75" customHeight="1" x14ac:dyDescent="0.3">
      <c r="D132" s="31"/>
      <c r="G132" s="31"/>
      <c r="H132" s="31"/>
    </row>
    <row r="133" spans="4:8" ht="15.75" customHeight="1" x14ac:dyDescent="0.3">
      <c r="D133" s="31"/>
      <c r="G133" s="31"/>
      <c r="H133" s="31"/>
    </row>
    <row r="134" spans="4:8" ht="15.75" customHeight="1" x14ac:dyDescent="0.3">
      <c r="D134" s="31"/>
      <c r="G134" s="31"/>
      <c r="H134" s="31"/>
    </row>
    <row r="135" spans="4:8" ht="15.75" customHeight="1" x14ac:dyDescent="0.3">
      <c r="D135" s="31"/>
      <c r="G135" s="31"/>
      <c r="H135" s="31"/>
    </row>
    <row r="136" spans="4:8" ht="15.75" customHeight="1" x14ac:dyDescent="0.3">
      <c r="D136" s="31"/>
      <c r="G136" s="31"/>
      <c r="H136" s="31"/>
    </row>
    <row r="137" spans="4:8" ht="15.75" customHeight="1" x14ac:dyDescent="0.3">
      <c r="D137" s="31"/>
      <c r="G137" s="31"/>
      <c r="H137" s="31"/>
    </row>
    <row r="138" spans="4:8" ht="15.75" customHeight="1" x14ac:dyDescent="0.3">
      <c r="D138" s="31"/>
      <c r="G138" s="31"/>
      <c r="H138" s="31"/>
    </row>
    <row r="139" spans="4:8" ht="15.75" customHeight="1" x14ac:dyDescent="0.3">
      <c r="D139" s="31"/>
      <c r="G139" s="31"/>
      <c r="H139" s="31"/>
    </row>
    <row r="140" spans="4:8" ht="15.75" customHeight="1" x14ac:dyDescent="0.3">
      <c r="D140" s="31"/>
      <c r="G140" s="31"/>
      <c r="H140" s="31"/>
    </row>
    <row r="141" spans="4:8" ht="15.75" customHeight="1" x14ac:dyDescent="0.3">
      <c r="D141" s="31"/>
      <c r="G141" s="31"/>
      <c r="H141" s="31"/>
    </row>
    <row r="142" spans="4:8" ht="15.75" customHeight="1" x14ac:dyDescent="0.3">
      <c r="D142" s="31"/>
      <c r="G142" s="31"/>
      <c r="H142" s="31"/>
    </row>
    <row r="143" spans="4:8" ht="15.75" customHeight="1" x14ac:dyDescent="0.3">
      <c r="D143" s="31"/>
      <c r="G143" s="31"/>
      <c r="H143" s="31"/>
    </row>
    <row r="144" spans="4:8" ht="15.75" customHeight="1" x14ac:dyDescent="0.3">
      <c r="D144" s="31"/>
      <c r="G144" s="31"/>
      <c r="H144" s="31"/>
    </row>
    <row r="145" spans="4:8" ht="15.75" customHeight="1" x14ac:dyDescent="0.3">
      <c r="D145" s="31"/>
      <c r="G145" s="31"/>
      <c r="H145" s="31"/>
    </row>
    <row r="146" spans="4:8" ht="15.75" customHeight="1" x14ac:dyDescent="0.3">
      <c r="D146" s="31"/>
      <c r="G146" s="31"/>
      <c r="H146" s="31"/>
    </row>
    <row r="147" spans="4:8" ht="15.75" customHeight="1" x14ac:dyDescent="0.3">
      <c r="D147" s="31"/>
      <c r="G147" s="31"/>
      <c r="H147" s="31"/>
    </row>
    <row r="148" spans="4:8" ht="15.75" customHeight="1" x14ac:dyDescent="0.3">
      <c r="D148" s="31"/>
      <c r="G148" s="31"/>
      <c r="H148" s="31"/>
    </row>
    <row r="149" spans="4:8" ht="15.75" customHeight="1" x14ac:dyDescent="0.3">
      <c r="D149" s="31"/>
      <c r="G149" s="31"/>
      <c r="H149" s="31"/>
    </row>
    <row r="150" spans="4:8" ht="15.75" customHeight="1" x14ac:dyDescent="0.3">
      <c r="D150" s="31"/>
      <c r="G150" s="31"/>
      <c r="H150" s="31"/>
    </row>
    <row r="151" spans="4:8" ht="15.75" customHeight="1" x14ac:dyDescent="0.3">
      <c r="D151" s="31"/>
      <c r="G151" s="31"/>
      <c r="H151" s="31"/>
    </row>
    <row r="152" spans="4:8" ht="15.75" customHeight="1" x14ac:dyDescent="0.3">
      <c r="D152" s="31"/>
      <c r="G152" s="31"/>
      <c r="H152" s="31"/>
    </row>
    <row r="153" spans="4:8" ht="15.75" customHeight="1" x14ac:dyDescent="0.3">
      <c r="D153" s="31"/>
      <c r="G153" s="31"/>
      <c r="H153" s="31"/>
    </row>
    <row r="154" spans="4:8" ht="15.75" customHeight="1" x14ac:dyDescent="0.3">
      <c r="D154" s="31"/>
      <c r="G154" s="31"/>
      <c r="H154" s="31"/>
    </row>
    <row r="155" spans="4:8" ht="15.75" customHeight="1" x14ac:dyDescent="0.3">
      <c r="D155" s="31"/>
      <c r="G155" s="31"/>
      <c r="H155" s="31"/>
    </row>
    <row r="156" spans="4:8" ht="15.75" customHeight="1" x14ac:dyDescent="0.3">
      <c r="D156" s="31"/>
      <c r="G156" s="31"/>
      <c r="H156" s="31"/>
    </row>
    <row r="157" spans="4:8" ht="15.75" customHeight="1" x14ac:dyDescent="0.3">
      <c r="D157" s="31"/>
      <c r="G157" s="31"/>
      <c r="H157" s="31"/>
    </row>
    <row r="158" spans="4:8" ht="15.75" customHeight="1" x14ac:dyDescent="0.3">
      <c r="D158" s="31"/>
      <c r="G158" s="31"/>
      <c r="H158" s="31"/>
    </row>
    <row r="159" spans="4:8" ht="15.75" customHeight="1" x14ac:dyDescent="0.3">
      <c r="D159" s="31"/>
      <c r="G159" s="31"/>
      <c r="H159" s="31"/>
    </row>
    <row r="160" spans="4:8" ht="15.75" customHeight="1" x14ac:dyDescent="0.3">
      <c r="D160" s="31"/>
      <c r="G160" s="31"/>
      <c r="H160" s="31"/>
    </row>
    <row r="161" spans="4:8" ht="15.75" customHeight="1" x14ac:dyDescent="0.3">
      <c r="D161" s="31"/>
      <c r="G161" s="31"/>
      <c r="H161" s="31"/>
    </row>
    <row r="162" spans="4:8" ht="15.75" customHeight="1" x14ac:dyDescent="0.3">
      <c r="D162" s="31"/>
      <c r="G162" s="31"/>
      <c r="H162" s="31"/>
    </row>
    <row r="163" spans="4:8" ht="15.75" customHeight="1" x14ac:dyDescent="0.3">
      <c r="D163" s="31"/>
      <c r="G163" s="31"/>
      <c r="H163" s="31"/>
    </row>
    <row r="164" spans="4:8" ht="15.75" customHeight="1" x14ac:dyDescent="0.3">
      <c r="D164" s="31"/>
      <c r="G164" s="31"/>
      <c r="H164" s="31"/>
    </row>
    <row r="165" spans="4:8" ht="15.75" customHeight="1" x14ac:dyDescent="0.3">
      <c r="D165" s="31"/>
      <c r="G165" s="31"/>
      <c r="H165" s="31"/>
    </row>
    <row r="166" spans="4:8" ht="15.75" customHeight="1" x14ac:dyDescent="0.3">
      <c r="D166" s="31"/>
      <c r="G166" s="31"/>
      <c r="H166" s="31"/>
    </row>
    <row r="167" spans="4:8" ht="15.75" customHeight="1" x14ac:dyDescent="0.3">
      <c r="D167" s="31"/>
      <c r="G167" s="31"/>
      <c r="H167" s="31"/>
    </row>
    <row r="168" spans="4:8" ht="15.75" customHeight="1" x14ac:dyDescent="0.3">
      <c r="D168" s="31"/>
      <c r="G168" s="31"/>
      <c r="H168" s="31"/>
    </row>
    <row r="169" spans="4:8" ht="15.75" customHeight="1" x14ac:dyDescent="0.3">
      <c r="D169" s="31"/>
      <c r="G169" s="31"/>
      <c r="H169" s="31"/>
    </row>
    <row r="170" spans="4:8" ht="15.75" customHeight="1" x14ac:dyDescent="0.3">
      <c r="D170" s="31"/>
      <c r="G170" s="31"/>
      <c r="H170" s="31"/>
    </row>
    <row r="171" spans="4:8" ht="15.75" customHeight="1" x14ac:dyDescent="0.3">
      <c r="D171" s="31"/>
      <c r="G171" s="31"/>
      <c r="H171" s="31"/>
    </row>
    <row r="172" spans="4:8" ht="15.75" customHeight="1" x14ac:dyDescent="0.3">
      <c r="D172" s="31"/>
      <c r="G172" s="31"/>
      <c r="H172" s="31"/>
    </row>
    <row r="173" spans="4:8" ht="15.75" customHeight="1" x14ac:dyDescent="0.3">
      <c r="D173" s="31"/>
      <c r="G173" s="31"/>
      <c r="H173" s="31"/>
    </row>
    <row r="174" spans="4:8" ht="15.75" customHeight="1" x14ac:dyDescent="0.3">
      <c r="D174" s="31"/>
      <c r="G174" s="31"/>
      <c r="H174" s="31"/>
    </row>
    <row r="175" spans="4:8" ht="15.75" customHeight="1" x14ac:dyDescent="0.3">
      <c r="D175" s="31"/>
      <c r="G175" s="31"/>
      <c r="H175" s="31"/>
    </row>
    <row r="176" spans="4:8" ht="15.75" customHeight="1" x14ac:dyDescent="0.3">
      <c r="D176" s="31"/>
      <c r="G176" s="31"/>
      <c r="H176" s="31"/>
    </row>
    <row r="177" spans="4:8" ht="15.75" customHeight="1" x14ac:dyDescent="0.3">
      <c r="D177" s="31"/>
      <c r="G177" s="31"/>
      <c r="H177" s="31"/>
    </row>
    <row r="178" spans="4:8" ht="15.75" customHeight="1" x14ac:dyDescent="0.3">
      <c r="D178" s="31"/>
      <c r="G178" s="31"/>
      <c r="H178" s="31"/>
    </row>
    <row r="179" spans="4:8" ht="15.75" customHeight="1" x14ac:dyDescent="0.3">
      <c r="D179" s="31"/>
      <c r="G179" s="31"/>
      <c r="H179" s="31"/>
    </row>
    <row r="180" spans="4:8" ht="15.75" customHeight="1" x14ac:dyDescent="0.3">
      <c r="D180" s="31"/>
      <c r="G180" s="31"/>
      <c r="H180" s="31"/>
    </row>
    <row r="181" spans="4:8" ht="15.75" customHeight="1" x14ac:dyDescent="0.3">
      <c r="D181" s="31"/>
      <c r="G181" s="31"/>
      <c r="H181" s="31"/>
    </row>
    <row r="182" spans="4:8" ht="15.75" customHeight="1" x14ac:dyDescent="0.3">
      <c r="D182" s="31"/>
      <c r="G182" s="31"/>
      <c r="H182" s="31"/>
    </row>
    <row r="183" spans="4:8" ht="15.75" customHeight="1" x14ac:dyDescent="0.3">
      <c r="D183" s="31"/>
      <c r="G183" s="31"/>
      <c r="H183" s="31"/>
    </row>
    <row r="184" spans="4:8" ht="15.75" customHeight="1" x14ac:dyDescent="0.3">
      <c r="D184" s="31"/>
      <c r="G184" s="31"/>
      <c r="H184" s="31"/>
    </row>
    <row r="185" spans="4:8" ht="15.75" customHeight="1" x14ac:dyDescent="0.3">
      <c r="D185" s="31"/>
      <c r="G185" s="31"/>
      <c r="H185" s="31"/>
    </row>
    <row r="186" spans="4:8" ht="15.75" customHeight="1" x14ac:dyDescent="0.3">
      <c r="D186" s="31"/>
      <c r="G186" s="31"/>
      <c r="H186" s="31"/>
    </row>
    <row r="187" spans="4:8" ht="15.75" customHeight="1" x14ac:dyDescent="0.3">
      <c r="D187" s="31"/>
      <c r="G187" s="31"/>
      <c r="H187" s="31"/>
    </row>
    <row r="188" spans="4:8" ht="15.75" customHeight="1" x14ac:dyDescent="0.3">
      <c r="D188" s="31"/>
      <c r="G188" s="31"/>
      <c r="H188" s="31"/>
    </row>
    <row r="189" spans="4:8" ht="15.75" customHeight="1" x14ac:dyDescent="0.3">
      <c r="D189" s="31"/>
      <c r="G189" s="31"/>
      <c r="H189" s="31"/>
    </row>
    <row r="190" spans="4:8" ht="15.75" customHeight="1" x14ac:dyDescent="0.3">
      <c r="D190" s="31"/>
      <c r="G190" s="31"/>
      <c r="H190" s="31"/>
    </row>
    <row r="191" spans="4:8" ht="15.75" customHeight="1" x14ac:dyDescent="0.3">
      <c r="D191" s="31"/>
      <c r="G191" s="31"/>
      <c r="H191" s="31"/>
    </row>
    <row r="192" spans="4:8" ht="15.75" customHeight="1" x14ac:dyDescent="0.3">
      <c r="D192" s="31"/>
      <c r="G192" s="31"/>
      <c r="H192" s="31"/>
    </row>
    <row r="193" spans="4:8" ht="15.75" customHeight="1" x14ac:dyDescent="0.3">
      <c r="D193" s="31"/>
      <c r="G193" s="31"/>
      <c r="H193" s="31"/>
    </row>
    <row r="194" spans="4:8" ht="15.75" customHeight="1" x14ac:dyDescent="0.3">
      <c r="D194" s="31"/>
      <c r="G194" s="31"/>
      <c r="H194" s="31"/>
    </row>
    <row r="195" spans="4:8" ht="15.75" customHeight="1" x14ac:dyDescent="0.3">
      <c r="D195" s="31"/>
      <c r="G195" s="31"/>
      <c r="H195" s="31"/>
    </row>
    <row r="196" spans="4:8" ht="15.75" customHeight="1" x14ac:dyDescent="0.3">
      <c r="D196" s="31"/>
      <c r="G196" s="31"/>
      <c r="H196" s="31"/>
    </row>
    <row r="197" spans="4:8" ht="15.75" customHeight="1" x14ac:dyDescent="0.3">
      <c r="D197" s="31"/>
      <c r="G197" s="31"/>
      <c r="H197" s="31"/>
    </row>
    <row r="198" spans="4:8" ht="15.75" customHeight="1" x14ac:dyDescent="0.3">
      <c r="D198" s="31"/>
      <c r="G198" s="31"/>
      <c r="H198" s="31"/>
    </row>
    <row r="199" spans="4:8" ht="15.75" customHeight="1" x14ac:dyDescent="0.3">
      <c r="D199" s="31"/>
      <c r="G199" s="31"/>
      <c r="H199" s="31"/>
    </row>
    <row r="200" spans="4:8" ht="15.75" customHeight="1" x14ac:dyDescent="0.3">
      <c r="D200" s="31"/>
      <c r="G200" s="31"/>
      <c r="H200" s="31"/>
    </row>
    <row r="201" spans="4:8" ht="15.75" customHeight="1" x14ac:dyDescent="0.3">
      <c r="D201" s="31"/>
      <c r="G201" s="31"/>
      <c r="H201" s="31"/>
    </row>
    <row r="202" spans="4:8" ht="15.75" customHeight="1" x14ac:dyDescent="0.3">
      <c r="D202" s="31"/>
      <c r="G202" s="31"/>
      <c r="H202" s="31"/>
    </row>
    <row r="203" spans="4:8" ht="15.75" customHeight="1" x14ac:dyDescent="0.3">
      <c r="D203" s="31"/>
      <c r="G203" s="31"/>
      <c r="H203" s="31"/>
    </row>
    <row r="204" spans="4:8" ht="15.75" customHeight="1" x14ac:dyDescent="0.3">
      <c r="D204" s="31"/>
      <c r="G204" s="31"/>
      <c r="H204" s="31"/>
    </row>
    <row r="205" spans="4:8" ht="15.75" customHeight="1" x14ac:dyDescent="0.3">
      <c r="D205" s="31"/>
      <c r="G205" s="31"/>
      <c r="H205" s="31"/>
    </row>
    <row r="206" spans="4:8" ht="15.75" customHeight="1" x14ac:dyDescent="0.3">
      <c r="D206" s="31"/>
      <c r="G206" s="31"/>
      <c r="H206" s="31"/>
    </row>
    <row r="207" spans="4:8" ht="15.75" customHeight="1" x14ac:dyDescent="0.3">
      <c r="D207" s="31"/>
      <c r="G207" s="31"/>
      <c r="H207" s="31"/>
    </row>
    <row r="208" spans="4:8" ht="15.75" customHeight="1" x14ac:dyDescent="0.3">
      <c r="D208" s="31"/>
      <c r="G208" s="31"/>
      <c r="H208" s="31"/>
    </row>
    <row r="209" spans="4:8" ht="15.75" customHeight="1" x14ac:dyDescent="0.3">
      <c r="D209" s="31"/>
      <c r="G209" s="31"/>
      <c r="H209" s="31"/>
    </row>
    <row r="210" spans="4:8" ht="15.75" customHeight="1" x14ac:dyDescent="0.3">
      <c r="D210" s="31"/>
      <c r="G210" s="31"/>
      <c r="H210" s="31"/>
    </row>
    <row r="211" spans="4:8" ht="15.75" customHeight="1" x14ac:dyDescent="0.3">
      <c r="D211" s="31"/>
      <c r="G211" s="31"/>
      <c r="H211" s="31"/>
    </row>
    <row r="212" spans="4:8" ht="15.75" customHeight="1" x14ac:dyDescent="0.3">
      <c r="D212" s="31"/>
      <c r="G212" s="31"/>
      <c r="H212" s="31"/>
    </row>
    <row r="213" spans="4:8" ht="15.75" customHeight="1" x14ac:dyDescent="0.3">
      <c r="D213" s="31"/>
      <c r="G213" s="31"/>
      <c r="H213" s="31"/>
    </row>
    <row r="214" spans="4:8" ht="15.75" customHeight="1" x14ac:dyDescent="0.3">
      <c r="D214" s="31"/>
      <c r="G214" s="31"/>
      <c r="H214" s="31"/>
    </row>
    <row r="215" spans="4:8" ht="15.75" customHeight="1" x14ac:dyDescent="0.3">
      <c r="D215" s="31"/>
      <c r="G215" s="31"/>
      <c r="H215" s="31"/>
    </row>
    <row r="216" spans="4:8" ht="15.75" customHeight="1" x14ac:dyDescent="0.3">
      <c r="D216" s="31"/>
      <c r="G216" s="31"/>
      <c r="H216" s="31"/>
    </row>
    <row r="217" spans="4:8" ht="15.75" customHeight="1" x14ac:dyDescent="0.3">
      <c r="D217" s="31"/>
      <c r="G217" s="31"/>
      <c r="H217" s="31"/>
    </row>
    <row r="218" spans="4:8" ht="15.75" customHeight="1" x14ac:dyDescent="0.3">
      <c r="D218" s="31"/>
      <c r="G218" s="31"/>
      <c r="H218" s="31"/>
    </row>
    <row r="219" spans="4:8" ht="15.75" customHeight="1" x14ac:dyDescent="0.3">
      <c r="D219" s="31"/>
      <c r="G219" s="31"/>
      <c r="H219" s="31"/>
    </row>
    <row r="220" spans="4:8" ht="15.75" customHeight="1" x14ac:dyDescent="0.3">
      <c r="D220" s="31"/>
      <c r="G220" s="31"/>
      <c r="H220" s="31"/>
    </row>
    <row r="221" spans="4:8" ht="15.75" customHeight="1" x14ac:dyDescent="0.3">
      <c r="D221" s="31"/>
      <c r="G221" s="31"/>
      <c r="H221" s="31"/>
    </row>
    <row r="222" spans="4:8" ht="15.75" customHeight="1" x14ac:dyDescent="0.3">
      <c r="D222" s="31"/>
      <c r="G222" s="31"/>
      <c r="H222" s="31"/>
    </row>
    <row r="223" spans="4:8" ht="15.75" customHeight="1" x14ac:dyDescent="0.3">
      <c r="D223" s="31"/>
      <c r="G223" s="31"/>
      <c r="H223" s="31"/>
    </row>
    <row r="224" spans="4:8" ht="15.75" customHeight="1" x14ac:dyDescent="0.3">
      <c r="D224" s="31"/>
      <c r="G224" s="31"/>
      <c r="H224" s="31"/>
    </row>
    <row r="225" spans="4:8" ht="15.75" customHeight="1" x14ac:dyDescent="0.3">
      <c r="D225" s="31"/>
      <c r="G225" s="31"/>
      <c r="H225" s="31"/>
    </row>
    <row r="226" spans="4:8" ht="15.75" customHeight="1" x14ac:dyDescent="0.3">
      <c r="D226" s="31"/>
      <c r="G226" s="31"/>
      <c r="H226" s="31"/>
    </row>
    <row r="227" spans="4:8" ht="15.75" customHeight="1" x14ac:dyDescent="0.3">
      <c r="D227" s="31"/>
      <c r="G227" s="31"/>
      <c r="H227" s="31"/>
    </row>
    <row r="228" spans="4:8" ht="15.75" customHeight="1" x14ac:dyDescent="0.3">
      <c r="D228" s="31"/>
      <c r="G228" s="31"/>
      <c r="H228" s="31"/>
    </row>
    <row r="229" spans="4:8" ht="15.75" customHeight="1" x14ac:dyDescent="0.3">
      <c r="D229" s="31"/>
      <c r="G229" s="31"/>
      <c r="H229" s="31"/>
    </row>
    <row r="230" spans="4:8" ht="15.75" customHeight="1" x14ac:dyDescent="0.3">
      <c r="D230" s="31"/>
      <c r="G230" s="31"/>
      <c r="H230" s="31"/>
    </row>
    <row r="231" spans="4:8" ht="15.75" customHeight="1" x14ac:dyDescent="0.3">
      <c r="D231" s="31"/>
      <c r="G231" s="31"/>
      <c r="H231" s="31"/>
    </row>
    <row r="232" spans="4:8" ht="15.75" customHeight="1" x14ac:dyDescent="0.3">
      <c r="D232" s="31"/>
      <c r="G232" s="31"/>
      <c r="H232" s="31"/>
    </row>
    <row r="233" spans="4:8" ht="15.75" customHeight="1" x14ac:dyDescent="0.3">
      <c r="D233" s="31"/>
      <c r="G233" s="31"/>
      <c r="H233" s="31"/>
    </row>
    <row r="234" spans="4:8" ht="15.75" customHeight="1" x14ac:dyDescent="0.3">
      <c r="D234" s="31"/>
      <c r="G234" s="31"/>
      <c r="H234" s="31"/>
    </row>
    <row r="235" spans="4:8" ht="15.75" customHeight="1" x14ac:dyDescent="0.3">
      <c r="D235" s="31"/>
      <c r="G235" s="31"/>
      <c r="H235" s="31"/>
    </row>
    <row r="236" spans="4:8" ht="15.75" customHeight="1" x14ac:dyDescent="0.3">
      <c r="D236" s="31"/>
      <c r="G236" s="31"/>
      <c r="H236" s="31"/>
    </row>
    <row r="237" spans="4:8" ht="15.75" customHeight="1" x14ac:dyDescent="0.3">
      <c r="D237" s="31"/>
      <c r="G237" s="31"/>
      <c r="H237" s="31"/>
    </row>
    <row r="238" spans="4:8" ht="15.75" customHeight="1" x14ac:dyDescent="0.3">
      <c r="D238" s="31"/>
      <c r="G238" s="31"/>
      <c r="H238" s="31"/>
    </row>
    <row r="239" spans="4:8" ht="15.75" customHeight="1" x14ac:dyDescent="0.3">
      <c r="D239" s="31"/>
      <c r="G239" s="31"/>
      <c r="H239" s="31"/>
    </row>
    <row r="240" spans="4:8" ht="15.75" customHeight="1" x14ac:dyDescent="0.3">
      <c r="D240" s="31"/>
      <c r="G240" s="31"/>
      <c r="H240" s="31"/>
    </row>
    <row r="241" spans="4:8" ht="15.75" customHeight="1" x14ac:dyDescent="0.3">
      <c r="D241" s="31"/>
      <c r="G241" s="31"/>
      <c r="H241" s="31"/>
    </row>
    <row r="242" spans="4:8" ht="15.75" customHeight="1" x14ac:dyDescent="0.3">
      <c r="D242" s="31"/>
      <c r="G242" s="31"/>
      <c r="H242" s="31"/>
    </row>
    <row r="243" spans="4:8" ht="15.75" customHeight="1" x14ac:dyDescent="0.3">
      <c r="D243" s="31"/>
      <c r="G243" s="31"/>
      <c r="H243" s="31"/>
    </row>
    <row r="244" spans="4:8" ht="15.75" customHeight="1" x14ac:dyDescent="0.3">
      <c r="D244" s="31"/>
      <c r="G244" s="31"/>
      <c r="H244" s="31"/>
    </row>
    <row r="245" spans="4:8" ht="15.75" customHeight="1" x14ac:dyDescent="0.3">
      <c r="D245" s="31"/>
      <c r="G245" s="31"/>
      <c r="H245" s="31"/>
    </row>
    <row r="246" spans="4:8" ht="15.75" customHeight="1" x14ac:dyDescent="0.3">
      <c r="D246" s="31"/>
      <c r="G246" s="31"/>
      <c r="H246" s="31"/>
    </row>
    <row r="247" spans="4:8" ht="15.75" customHeight="1" x14ac:dyDescent="0.3">
      <c r="D247" s="31"/>
      <c r="G247" s="31"/>
      <c r="H247" s="31"/>
    </row>
    <row r="248" spans="4:8" ht="15.75" customHeight="1" x14ac:dyDescent="0.3">
      <c r="D248" s="31"/>
      <c r="G248" s="31"/>
      <c r="H248" s="31"/>
    </row>
    <row r="249" spans="4:8" ht="15.75" customHeight="1" x14ac:dyDescent="0.3">
      <c r="D249" s="31"/>
      <c r="G249" s="31"/>
      <c r="H249" s="31"/>
    </row>
    <row r="250" spans="4:8" ht="15.75" customHeight="1" x14ac:dyDescent="0.3">
      <c r="D250" s="31"/>
      <c r="G250" s="31"/>
      <c r="H250" s="31"/>
    </row>
    <row r="251" spans="4:8" ht="15.75" customHeight="1" x14ac:dyDescent="0.3">
      <c r="D251" s="31"/>
      <c r="G251" s="31"/>
      <c r="H251" s="31"/>
    </row>
    <row r="252" spans="4:8" ht="15.75" customHeight="1" x14ac:dyDescent="0.3">
      <c r="D252" s="31"/>
      <c r="G252" s="31"/>
      <c r="H252" s="31"/>
    </row>
    <row r="253" spans="4:8" ht="15.75" customHeight="1" x14ac:dyDescent="0.3">
      <c r="D253" s="31"/>
      <c r="G253" s="31"/>
      <c r="H253" s="31"/>
    </row>
    <row r="254" spans="4:8" ht="15.75" customHeight="1" x14ac:dyDescent="0.3">
      <c r="D254" s="31"/>
      <c r="G254" s="31"/>
      <c r="H254" s="31"/>
    </row>
    <row r="255" spans="4:8" ht="15.75" customHeight="1" x14ac:dyDescent="0.3">
      <c r="D255" s="31"/>
      <c r="G255" s="31"/>
      <c r="H255" s="31"/>
    </row>
    <row r="256" spans="4:8" ht="15.75" customHeight="1" x14ac:dyDescent="0.3">
      <c r="D256" s="31"/>
      <c r="G256" s="31"/>
      <c r="H256" s="31"/>
    </row>
    <row r="257" spans="4:8" ht="15.75" customHeight="1" x14ac:dyDescent="0.3">
      <c r="D257" s="31"/>
      <c r="G257" s="31"/>
      <c r="H257" s="31"/>
    </row>
    <row r="258" spans="4:8" ht="15.75" customHeight="1" x14ac:dyDescent="0.3">
      <c r="D258" s="31"/>
      <c r="G258" s="31"/>
      <c r="H258" s="31"/>
    </row>
    <row r="259" spans="4:8" ht="15.75" customHeight="1" x14ac:dyDescent="0.3">
      <c r="D259" s="31"/>
      <c r="G259" s="31"/>
      <c r="H259" s="31"/>
    </row>
    <row r="260" spans="4:8" ht="15.75" customHeight="1" x14ac:dyDescent="0.3">
      <c r="D260" s="31"/>
      <c r="G260" s="31"/>
      <c r="H260" s="31"/>
    </row>
    <row r="261" spans="4:8" ht="15.75" customHeight="1" x14ac:dyDescent="0.3">
      <c r="D261" s="31"/>
      <c r="G261" s="31"/>
      <c r="H261" s="31"/>
    </row>
    <row r="262" spans="4:8" ht="15.75" customHeight="1" x14ac:dyDescent="0.3">
      <c r="D262" s="31"/>
      <c r="G262" s="31"/>
      <c r="H262" s="31"/>
    </row>
    <row r="263" spans="4:8" ht="15.75" customHeight="1" x14ac:dyDescent="0.3">
      <c r="D263" s="31"/>
      <c r="G263" s="31"/>
      <c r="H263" s="31"/>
    </row>
    <row r="264" spans="4:8" ht="15.75" customHeight="1" x14ac:dyDescent="0.3">
      <c r="D264" s="31"/>
      <c r="G264" s="31"/>
      <c r="H264" s="31"/>
    </row>
    <row r="265" spans="4:8" ht="15.75" customHeight="1" x14ac:dyDescent="0.3">
      <c r="D265" s="31"/>
      <c r="G265" s="31"/>
      <c r="H265" s="31"/>
    </row>
    <row r="266" spans="4:8" ht="15.75" customHeight="1" x14ac:dyDescent="0.3">
      <c r="D266" s="31"/>
      <c r="G266" s="31"/>
      <c r="H266" s="31"/>
    </row>
    <row r="267" spans="4:8" ht="15.75" customHeight="1" x14ac:dyDescent="0.3">
      <c r="D267" s="31"/>
      <c r="G267" s="31"/>
      <c r="H267" s="31"/>
    </row>
    <row r="268" spans="4:8" ht="15.75" customHeight="1" x14ac:dyDescent="0.3">
      <c r="D268" s="31"/>
      <c r="G268" s="31"/>
      <c r="H268" s="31"/>
    </row>
    <row r="269" spans="4:8" ht="15.75" customHeight="1" x14ac:dyDescent="0.3">
      <c r="D269" s="31"/>
      <c r="G269" s="31"/>
      <c r="H269" s="31"/>
    </row>
    <row r="270" spans="4:8" ht="15.75" customHeight="1" x14ac:dyDescent="0.3">
      <c r="D270" s="31"/>
      <c r="G270" s="31"/>
      <c r="H270" s="31"/>
    </row>
    <row r="271" spans="4:8" ht="15.75" customHeight="1" x14ac:dyDescent="0.3">
      <c r="D271" s="31"/>
      <c r="G271" s="31"/>
      <c r="H271" s="31"/>
    </row>
    <row r="272" spans="4:8" ht="15.75" customHeight="1" x14ac:dyDescent="0.3">
      <c r="D272" s="31"/>
      <c r="G272" s="31"/>
      <c r="H272" s="31"/>
    </row>
    <row r="273" spans="4:8" ht="15.75" customHeight="1" x14ac:dyDescent="0.3">
      <c r="D273" s="31"/>
      <c r="G273" s="31"/>
      <c r="H273" s="31"/>
    </row>
    <row r="274" spans="4:8" ht="15.75" customHeight="1" x14ac:dyDescent="0.3">
      <c r="D274" s="31"/>
      <c r="G274" s="31"/>
      <c r="H274" s="31"/>
    </row>
    <row r="275" spans="4:8" ht="15.75" customHeight="1" x14ac:dyDescent="0.3">
      <c r="D275" s="31"/>
      <c r="G275" s="31"/>
      <c r="H275" s="31"/>
    </row>
    <row r="276" spans="4:8" ht="15.75" customHeight="1" x14ac:dyDescent="0.3">
      <c r="D276" s="31"/>
      <c r="G276" s="31"/>
      <c r="H276" s="31"/>
    </row>
    <row r="277" spans="4:8" ht="15.75" customHeight="1" x14ac:dyDescent="0.3">
      <c r="D277" s="31"/>
      <c r="G277" s="31"/>
      <c r="H277" s="31"/>
    </row>
    <row r="278" spans="4:8" ht="15.75" customHeight="1" x14ac:dyDescent="0.3">
      <c r="D278" s="31"/>
      <c r="G278" s="31"/>
      <c r="H278" s="31"/>
    </row>
    <row r="279" spans="4:8" ht="15.75" customHeight="1" x14ac:dyDescent="0.3">
      <c r="D279" s="31"/>
      <c r="G279" s="31"/>
      <c r="H279" s="31"/>
    </row>
    <row r="280" spans="4:8" ht="15.75" customHeight="1" x14ac:dyDescent="0.3">
      <c r="D280" s="31"/>
      <c r="G280" s="31"/>
      <c r="H280" s="31"/>
    </row>
    <row r="281" spans="4:8" ht="15.75" customHeight="1" x14ac:dyDescent="0.3">
      <c r="D281" s="31"/>
      <c r="G281" s="31"/>
      <c r="H281" s="31"/>
    </row>
    <row r="282" spans="4:8" ht="15.75" customHeight="1" x14ac:dyDescent="0.3">
      <c r="D282" s="31"/>
      <c r="G282" s="31"/>
      <c r="H282" s="31"/>
    </row>
    <row r="283" spans="4:8" ht="15.75" customHeight="1" x14ac:dyDescent="0.3">
      <c r="D283" s="31"/>
      <c r="G283" s="31"/>
      <c r="H283" s="31"/>
    </row>
    <row r="284" spans="4:8" ht="15.75" customHeight="1" x14ac:dyDescent="0.3">
      <c r="D284" s="31"/>
      <c r="G284" s="31"/>
      <c r="H284" s="31"/>
    </row>
    <row r="285" spans="4:8" ht="15.75" customHeight="1" x14ac:dyDescent="0.3">
      <c r="D285" s="31"/>
      <c r="G285" s="31"/>
      <c r="H285" s="31"/>
    </row>
    <row r="286" spans="4:8" ht="15.75" customHeight="1" x14ac:dyDescent="0.3">
      <c r="D286" s="31"/>
      <c r="G286" s="31"/>
      <c r="H286" s="31"/>
    </row>
    <row r="287" spans="4:8" ht="15.75" customHeight="1" x14ac:dyDescent="0.3">
      <c r="D287" s="31"/>
      <c r="G287" s="31"/>
      <c r="H287" s="31"/>
    </row>
    <row r="288" spans="4:8" ht="15.75" customHeight="1" x14ac:dyDescent="0.3">
      <c r="D288" s="31"/>
      <c r="G288" s="31"/>
      <c r="H288" s="31"/>
    </row>
    <row r="289" spans="4:8" ht="15.75" customHeight="1" x14ac:dyDescent="0.3">
      <c r="D289" s="31"/>
      <c r="G289" s="31"/>
      <c r="H289" s="31"/>
    </row>
    <row r="290" spans="4:8" ht="15.75" customHeight="1" x14ac:dyDescent="0.3">
      <c r="D290" s="31"/>
      <c r="G290" s="31"/>
      <c r="H290" s="31"/>
    </row>
    <row r="291" spans="4:8" ht="15.75" customHeight="1" x14ac:dyDescent="0.3">
      <c r="D291" s="31"/>
      <c r="G291" s="31"/>
      <c r="H291" s="31"/>
    </row>
    <row r="292" spans="4:8" ht="15.75" customHeight="1" x14ac:dyDescent="0.3">
      <c r="D292" s="31"/>
      <c r="G292" s="31"/>
      <c r="H292" s="31"/>
    </row>
    <row r="293" spans="4:8" ht="15.75" customHeight="1" x14ac:dyDescent="0.3">
      <c r="D293" s="31"/>
      <c r="G293" s="31"/>
      <c r="H293" s="31"/>
    </row>
    <row r="294" spans="4:8" ht="15.75" customHeight="1" x14ac:dyDescent="0.3">
      <c r="D294" s="31"/>
      <c r="G294" s="31"/>
      <c r="H294" s="31"/>
    </row>
    <row r="295" spans="4:8" ht="15.75" customHeight="1" x14ac:dyDescent="0.3">
      <c r="D295" s="31"/>
      <c r="G295" s="31"/>
      <c r="H295" s="31"/>
    </row>
    <row r="296" spans="4:8" ht="15.75" customHeight="1" x14ac:dyDescent="0.3">
      <c r="D296" s="31"/>
      <c r="G296" s="31"/>
      <c r="H296" s="31"/>
    </row>
    <row r="297" spans="4:8" ht="15.75" customHeight="1" x14ac:dyDescent="0.3">
      <c r="D297" s="31"/>
      <c r="G297" s="31"/>
      <c r="H297" s="31"/>
    </row>
    <row r="298" spans="4:8" ht="15.75" customHeight="1" x14ac:dyDescent="0.3">
      <c r="D298" s="31"/>
      <c r="G298" s="31"/>
      <c r="H298" s="31"/>
    </row>
    <row r="299" spans="4:8" ht="15.75" customHeight="1" x14ac:dyDescent="0.3">
      <c r="D299" s="31"/>
      <c r="G299" s="31"/>
      <c r="H299" s="31"/>
    </row>
    <row r="300" spans="4:8" ht="15.75" customHeight="1" x14ac:dyDescent="0.3">
      <c r="D300" s="31"/>
      <c r="G300" s="31"/>
      <c r="H300" s="31"/>
    </row>
    <row r="301" spans="4:8" ht="15.75" customHeight="1" x14ac:dyDescent="0.3">
      <c r="D301" s="31"/>
      <c r="G301" s="31"/>
      <c r="H301" s="31"/>
    </row>
    <row r="302" spans="4:8" ht="15.75" customHeight="1" x14ac:dyDescent="0.3">
      <c r="D302" s="31"/>
      <c r="G302" s="31"/>
      <c r="H302" s="31"/>
    </row>
    <row r="303" spans="4:8" ht="15.75" customHeight="1" x14ac:dyDescent="0.3">
      <c r="D303" s="31"/>
      <c r="G303" s="31"/>
      <c r="H303" s="31"/>
    </row>
    <row r="304" spans="4:8" ht="15.75" customHeight="1" x14ac:dyDescent="0.3">
      <c r="D304" s="31"/>
      <c r="G304" s="31"/>
      <c r="H304" s="31"/>
    </row>
    <row r="305" spans="4:8" ht="15.75" customHeight="1" x14ac:dyDescent="0.3">
      <c r="D305" s="31"/>
      <c r="G305" s="31"/>
      <c r="H305" s="31"/>
    </row>
    <row r="306" spans="4:8" ht="15.75" customHeight="1" x14ac:dyDescent="0.3">
      <c r="D306" s="31"/>
      <c r="G306" s="31"/>
      <c r="H306" s="31"/>
    </row>
    <row r="307" spans="4:8" ht="15.75" customHeight="1" x14ac:dyDescent="0.3">
      <c r="D307" s="31"/>
      <c r="G307" s="31"/>
      <c r="H307" s="31"/>
    </row>
    <row r="308" spans="4:8" ht="15.75" customHeight="1" x14ac:dyDescent="0.3">
      <c r="D308" s="31"/>
      <c r="G308" s="31"/>
      <c r="H308" s="31"/>
    </row>
    <row r="309" spans="4:8" ht="15.75" customHeight="1" x14ac:dyDescent="0.3">
      <c r="D309" s="31"/>
      <c r="G309" s="31"/>
      <c r="H309" s="31"/>
    </row>
    <row r="310" spans="4:8" ht="15.75" customHeight="1" x14ac:dyDescent="0.3">
      <c r="D310" s="31"/>
      <c r="G310" s="31"/>
      <c r="H310" s="31"/>
    </row>
    <row r="311" spans="4:8" ht="15.75" customHeight="1" x14ac:dyDescent="0.3">
      <c r="D311" s="31"/>
      <c r="G311" s="31"/>
      <c r="H311" s="31"/>
    </row>
    <row r="312" spans="4:8" ht="15.75" customHeight="1" x14ac:dyDescent="0.3">
      <c r="D312" s="31"/>
      <c r="G312" s="31"/>
      <c r="H312" s="31"/>
    </row>
    <row r="313" spans="4:8" ht="15.75" customHeight="1" x14ac:dyDescent="0.3">
      <c r="D313" s="31"/>
      <c r="G313" s="31"/>
      <c r="H313" s="31"/>
    </row>
    <row r="314" spans="4:8" ht="15.75" customHeight="1" x14ac:dyDescent="0.3">
      <c r="D314" s="31"/>
      <c r="G314" s="31"/>
      <c r="H314" s="31"/>
    </row>
    <row r="315" spans="4:8" ht="15.75" customHeight="1" x14ac:dyDescent="0.3">
      <c r="D315" s="31"/>
      <c r="G315" s="31"/>
      <c r="H315" s="31"/>
    </row>
    <row r="316" spans="4:8" ht="15.75" customHeight="1" x14ac:dyDescent="0.3">
      <c r="D316" s="31"/>
      <c r="G316" s="31"/>
      <c r="H316" s="31"/>
    </row>
    <row r="317" spans="4:8" ht="15.75" customHeight="1" x14ac:dyDescent="0.3">
      <c r="D317" s="31"/>
      <c r="G317" s="31"/>
      <c r="H317" s="31"/>
    </row>
    <row r="318" spans="4:8" ht="15.75" customHeight="1" x14ac:dyDescent="0.3">
      <c r="D318" s="31"/>
      <c r="G318" s="31"/>
      <c r="H318" s="31"/>
    </row>
    <row r="319" spans="4:8" ht="15.75" customHeight="1" x14ac:dyDescent="0.3">
      <c r="D319" s="31"/>
      <c r="G319" s="31"/>
      <c r="H319" s="31"/>
    </row>
    <row r="320" spans="4:8" ht="15.75" customHeight="1" x14ac:dyDescent="0.3">
      <c r="D320" s="31"/>
      <c r="G320" s="31"/>
      <c r="H320" s="31"/>
    </row>
    <row r="321" spans="4:8" ht="15.75" customHeight="1" x14ac:dyDescent="0.3">
      <c r="D321" s="31"/>
      <c r="G321" s="31"/>
      <c r="H321" s="31"/>
    </row>
    <row r="322" spans="4:8" ht="15.75" customHeight="1" x14ac:dyDescent="0.3">
      <c r="D322" s="31"/>
      <c r="G322" s="31"/>
      <c r="H322" s="31"/>
    </row>
    <row r="323" spans="4:8" ht="15.75" customHeight="1" x14ac:dyDescent="0.3">
      <c r="D323" s="31"/>
      <c r="G323" s="31"/>
      <c r="H323" s="31"/>
    </row>
    <row r="324" spans="4:8" ht="15.75" customHeight="1" x14ac:dyDescent="0.3">
      <c r="D324" s="31"/>
      <c r="G324" s="31"/>
      <c r="H324" s="31"/>
    </row>
    <row r="325" spans="4:8" ht="15.75" customHeight="1" x14ac:dyDescent="0.3">
      <c r="D325" s="31"/>
      <c r="G325" s="31"/>
      <c r="H325" s="31"/>
    </row>
    <row r="326" spans="4:8" ht="15.75" customHeight="1" x14ac:dyDescent="0.3">
      <c r="D326" s="31"/>
      <c r="G326" s="31"/>
      <c r="H326" s="31"/>
    </row>
    <row r="327" spans="4:8" ht="15.75" customHeight="1" x14ac:dyDescent="0.3">
      <c r="D327" s="31"/>
      <c r="G327" s="31"/>
      <c r="H327" s="31"/>
    </row>
    <row r="328" spans="4:8" ht="15.75" customHeight="1" x14ac:dyDescent="0.3">
      <c r="D328" s="31"/>
      <c r="G328" s="31"/>
      <c r="H328" s="31"/>
    </row>
    <row r="329" spans="4:8" ht="15.75" customHeight="1" x14ac:dyDescent="0.3">
      <c r="D329" s="31"/>
      <c r="G329" s="31"/>
      <c r="H329" s="31"/>
    </row>
    <row r="330" spans="4:8" ht="15.75" customHeight="1" x14ac:dyDescent="0.3">
      <c r="D330" s="31"/>
      <c r="G330" s="31"/>
      <c r="H330" s="31"/>
    </row>
    <row r="331" spans="4:8" ht="15.75" customHeight="1" x14ac:dyDescent="0.3">
      <c r="D331" s="31"/>
      <c r="G331" s="31"/>
      <c r="H331" s="31"/>
    </row>
    <row r="332" spans="4:8" ht="15.75" customHeight="1" x14ac:dyDescent="0.3">
      <c r="D332" s="31"/>
      <c r="G332" s="31"/>
      <c r="H332" s="31"/>
    </row>
    <row r="333" spans="4:8" ht="15.75" customHeight="1" x14ac:dyDescent="0.3">
      <c r="D333" s="31"/>
      <c r="G333" s="31"/>
      <c r="H333" s="31"/>
    </row>
    <row r="334" spans="4:8" ht="15.75" customHeight="1" x14ac:dyDescent="0.3">
      <c r="D334" s="31"/>
      <c r="G334" s="31"/>
      <c r="H334" s="31"/>
    </row>
    <row r="335" spans="4:8" ht="15.75" customHeight="1" x14ac:dyDescent="0.3">
      <c r="D335" s="31"/>
      <c r="G335" s="31"/>
      <c r="H335" s="31"/>
    </row>
    <row r="336" spans="4:8" ht="15.75" customHeight="1" x14ac:dyDescent="0.3">
      <c r="D336" s="31"/>
      <c r="G336" s="31"/>
      <c r="H336" s="31"/>
    </row>
    <row r="337" spans="4:8" ht="15.75" customHeight="1" x14ac:dyDescent="0.3">
      <c r="D337" s="31"/>
      <c r="G337" s="31"/>
      <c r="H337" s="31"/>
    </row>
    <row r="338" spans="4:8" ht="15.75" customHeight="1" x14ac:dyDescent="0.3">
      <c r="D338" s="31"/>
      <c r="G338" s="31"/>
      <c r="H338" s="31"/>
    </row>
    <row r="339" spans="4:8" ht="15.75" customHeight="1" x14ac:dyDescent="0.3">
      <c r="D339" s="31"/>
      <c r="G339" s="31"/>
      <c r="H339" s="31"/>
    </row>
    <row r="340" spans="4:8" ht="15.75" customHeight="1" x14ac:dyDescent="0.3">
      <c r="D340" s="31"/>
      <c r="G340" s="31"/>
      <c r="H340" s="31"/>
    </row>
    <row r="341" spans="4:8" ht="15.75" customHeight="1" x14ac:dyDescent="0.3">
      <c r="D341" s="31"/>
      <c r="G341" s="31"/>
      <c r="H341" s="31"/>
    </row>
    <row r="342" spans="4:8" ht="15.75" customHeight="1" x14ac:dyDescent="0.3">
      <c r="D342" s="31"/>
      <c r="G342" s="31"/>
      <c r="H342" s="31"/>
    </row>
    <row r="343" spans="4:8" ht="15.75" customHeight="1" x14ac:dyDescent="0.3">
      <c r="D343" s="31"/>
      <c r="G343" s="31"/>
      <c r="H343" s="31"/>
    </row>
    <row r="344" spans="4:8" ht="15.75" customHeight="1" x14ac:dyDescent="0.3">
      <c r="D344" s="31"/>
      <c r="G344" s="31"/>
      <c r="H344" s="31"/>
    </row>
    <row r="345" spans="4:8" ht="15.75" customHeight="1" x14ac:dyDescent="0.3">
      <c r="D345" s="31"/>
      <c r="G345" s="31"/>
      <c r="H345" s="31"/>
    </row>
    <row r="346" spans="4:8" ht="15.75" customHeight="1" x14ac:dyDescent="0.3">
      <c r="D346" s="31"/>
      <c r="G346" s="31"/>
      <c r="H346" s="31"/>
    </row>
    <row r="347" spans="4:8" ht="15.75" customHeight="1" x14ac:dyDescent="0.3">
      <c r="D347" s="31"/>
      <c r="G347" s="31"/>
      <c r="H347" s="31"/>
    </row>
    <row r="348" spans="4:8" ht="15.75" customHeight="1" x14ac:dyDescent="0.3">
      <c r="D348" s="31"/>
      <c r="G348" s="31"/>
      <c r="H348" s="31"/>
    </row>
    <row r="349" spans="4:8" ht="15.75" customHeight="1" x14ac:dyDescent="0.3">
      <c r="D349" s="31"/>
      <c r="G349" s="31"/>
      <c r="H349" s="31"/>
    </row>
    <row r="350" spans="4:8" ht="15.75" customHeight="1" x14ac:dyDescent="0.3">
      <c r="D350" s="31"/>
      <c r="G350" s="31"/>
      <c r="H350" s="31"/>
    </row>
    <row r="351" spans="4:8" ht="15.75" customHeight="1" x14ac:dyDescent="0.3">
      <c r="D351" s="31"/>
      <c r="G351" s="31"/>
      <c r="H351" s="31"/>
    </row>
    <row r="352" spans="4:8" ht="15.75" customHeight="1" x14ac:dyDescent="0.3">
      <c r="D352" s="31"/>
      <c r="G352" s="31"/>
      <c r="H352" s="31"/>
    </row>
    <row r="353" spans="4:8" ht="15.75" customHeight="1" x14ac:dyDescent="0.3">
      <c r="D353" s="31"/>
      <c r="G353" s="31"/>
      <c r="H353" s="31"/>
    </row>
    <row r="354" spans="4:8" ht="15.75" customHeight="1" x14ac:dyDescent="0.3">
      <c r="D354" s="31"/>
      <c r="G354" s="31"/>
      <c r="H354" s="31"/>
    </row>
    <row r="355" spans="4:8" ht="15.75" customHeight="1" x14ac:dyDescent="0.3">
      <c r="D355" s="31"/>
      <c r="G355" s="31"/>
      <c r="H355" s="31"/>
    </row>
    <row r="356" spans="4:8" ht="15.75" customHeight="1" x14ac:dyDescent="0.3">
      <c r="D356" s="31"/>
      <c r="G356" s="31"/>
      <c r="H356" s="31"/>
    </row>
    <row r="357" spans="4:8" ht="15.75" customHeight="1" x14ac:dyDescent="0.3">
      <c r="D357" s="31"/>
      <c r="G357" s="31"/>
      <c r="H357" s="31"/>
    </row>
    <row r="358" spans="4:8" ht="15.75" customHeight="1" x14ac:dyDescent="0.3">
      <c r="D358" s="31"/>
      <c r="G358" s="31"/>
      <c r="H358" s="31"/>
    </row>
    <row r="359" spans="4:8" ht="15.75" customHeight="1" x14ac:dyDescent="0.3">
      <c r="D359" s="31"/>
      <c r="G359" s="31"/>
      <c r="H359" s="31"/>
    </row>
    <row r="360" spans="4:8" ht="15.75" customHeight="1" x14ac:dyDescent="0.3">
      <c r="D360" s="31"/>
      <c r="G360" s="31"/>
      <c r="H360" s="31"/>
    </row>
    <row r="361" spans="4:8" ht="15.75" customHeight="1" x14ac:dyDescent="0.3">
      <c r="D361" s="31"/>
      <c r="G361" s="31"/>
      <c r="H361" s="31"/>
    </row>
    <row r="362" spans="4:8" ht="15.75" customHeight="1" x14ac:dyDescent="0.3">
      <c r="D362" s="31"/>
      <c r="G362" s="31"/>
      <c r="H362" s="31"/>
    </row>
    <row r="363" spans="4:8" ht="15.75" customHeight="1" x14ac:dyDescent="0.3">
      <c r="D363" s="31"/>
      <c r="G363" s="31"/>
      <c r="H363" s="31"/>
    </row>
    <row r="364" spans="4:8" ht="15.75" customHeight="1" x14ac:dyDescent="0.3">
      <c r="D364" s="31"/>
      <c r="G364" s="31"/>
      <c r="H364" s="31"/>
    </row>
    <row r="365" spans="4:8" ht="15.75" customHeight="1" x14ac:dyDescent="0.3">
      <c r="D365" s="31"/>
      <c r="G365" s="31"/>
      <c r="H365" s="31"/>
    </row>
    <row r="366" spans="4:8" ht="15.75" customHeight="1" x14ac:dyDescent="0.3">
      <c r="D366" s="31"/>
      <c r="G366" s="31"/>
      <c r="H366" s="31"/>
    </row>
    <row r="367" spans="4:8" ht="15.75" customHeight="1" x14ac:dyDescent="0.3">
      <c r="D367" s="31"/>
      <c r="G367" s="31"/>
      <c r="H367" s="31"/>
    </row>
    <row r="368" spans="4:8" ht="15.75" customHeight="1" x14ac:dyDescent="0.3">
      <c r="D368" s="31"/>
      <c r="G368" s="31"/>
      <c r="H368" s="31"/>
    </row>
    <row r="369" spans="4:8" ht="15.75" customHeight="1" x14ac:dyDescent="0.3">
      <c r="D369" s="31"/>
      <c r="G369" s="31"/>
      <c r="H369" s="31"/>
    </row>
    <row r="370" spans="4:8" ht="15.75" customHeight="1" x14ac:dyDescent="0.3">
      <c r="D370" s="31"/>
      <c r="G370" s="31"/>
      <c r="H370" s="31"/>
    </row>
    <row r="371" spans="4:8" ht="15.75" customHeight="1" x14ac:dyDescent="0.3">
      <c r="D371" s="31"/>
      <c r="G371" s="31"/>
      <c r="H371" s="31"/>
    </row>
    <row r="372" spans="4:8" ht="15.75" customHeight="1" x14ac:dyDescent="0.3">
      <c r="D372" s="31"/>
      <c r="G372" s="31"/>
      <c r="H372" s="31"/>
    </row>
    <row r="373" spans="4:8" ht="15.75" customHeight="1" x14ac:dyDescent="0.3">
      <c r="D373" s="31"/>
      <c r="G373" s="31"/>
      <c r="H373" s="31"/>
    </row>
    <row r="374" spans="4:8" ht="15.75" customHeight="1" x14ac:dyDescent="0.3">
      <c r="D374" s="31"/>
      <c r="G374" s="31"/>
      <c r="H374" s="31"/>
    </row>
    <row r="375" spans="4:8" ht="15.75" customHeight="1" x14ac:dyDescent="0.3">
      <c r="D375" s="31"/>
      <c r="G375" s="31"/>
      <c r="H375" s="31"/>
    </row>
    <row r="376" spans="4:8" ht="15.75" customHeight="1" x14ac:dyDescent="0.3">
      <c r="D376" s="31"/>
      <c r="G376" s="31"/>
      <c r="H376" s="31"/>
    </row>
    <row r="377" spans="4:8" ht="15.75" customHeight="1" x14ac:dyDescent="0.3">
      <c r="D377" s="31"/>
      <c r="G377" s="31"/>
      <c r="H377" s="31"/>
    </row>
    <row r="378" spans="4:8" ht="15.75" customHeight="1" x14ac:dyDescent="0.3">
      <c r="D378" s="31"/>
      <c r="G378" s="31"/>
      <c r="H378" s="31"/>
    </row>
    <row r="379" spans="4:8" ht="15.75" customHeight="1" x14ac:dyDescent="0.3">
      <c r="D379" s="31"/>
      <c r="G379" s="31"/>
      <c r="H379" s="31"/>
    </row>
    <row r="380" spans="4:8" ht="15.75" customHeight="1" x14ac:dyDescent="0.3">
      <c r="D380" s="31"/>
      <c r="G380" s="31"/>
      <c r="H380" s="31"/>
    </row>
    <row r="381" spans="4:8" ht="15.75" customHeight="1" x14ac:dyDescent="0.3">
      <c r="D381" s="31"/>
      <c r="G381" s="31"/>
      <c r="H381" s="31"/>
    </row>
    <row r="382" spans="4:8" ht="15.75" customHeight="1" x14ac:dyDescent="0.3">
      <c r="D382" s="31"/>
      <c r="G382" s="31"/>
      <c r="H382" s="31"/>
    </row>
    <row r="383" spans="4:8" ht="15.75" customHeight="1" x14ac:dyDescent="0.3">
      <c r="D383" s="31"/>
      <c r="G383" s="31"/>
      <c r="H383" s="31"/>
    </row>
    <row r="384" spans="4:8" ht="15.75" customHeight="1" x14ac:dyDescent="0.3">
      <c r="D384" s="31"/>
      <c r="G384" s="31"/>
      <c r="H384" s="31"/>
    </row>
    <row r="385" spans="4:8" ht="15.75" customHeight="1" x14ac:dyDescent="0.3">
      <c r="D385" s="31"/>
      <c r="G385" s="31"/>
      <c r="H385" s="31"/>
    </row>
    <row r="386" spans="4:8" ht="15.75" customHeight="1" x14ac:dyDescent="0.3">
      <c r="D386" s="31"/>
      <c r="G386" s="31"/>
      <c r="H386" s="31"/>
    </row>
    <row r="387" spans="4:8" ht="15.75" customHeight="1" x14ac:dyDescent="0.3">
      <c r="D387" s="31"/>
      <c r="G387" s="31"/>
      <c r="H387" s="31"/>
    </row>
    <row r="388" spans="4:8" ht="15.75" customHeight="1" x14ac:dyDescent="0.3">
      <c r="D388" s="31"/>
      <c r="G388" s="31"/>
      <c r="H388" s="31"/>
    </row>
    <row r="389" spans="4:8" ht="15.75" customHeight="1" x14ac:dyDescent="0.3">
      <c r="D389" s="31"/>
      <c r="G389" s="31"/>
      <c r="H389" s="31"/>
    </row>
    <row r="390" spans="4:8" ht="15.75" customHeight="1" x14ac:dyDescent="0.3">
      <c r="D390" s="31"/>
      <c r="G390" s="31"/>
      <c r="H390" s="31"/>
    </row>
    <row r="391" spans="4:8" ht="15.75" customHeight="1" x14ac:dyDescent="0.3">
      <c r="D391" s="31"/>
      <c r="G391" s="31"/>
      <c r="H391" s="31"/>
    </row>
    <row r="392" spans="4:8" ht="15.75" customHeight="1" x14ac:dyDescent="0.3">
      <c r="D392" s="31"/>
      <c r="G392" s="31"/>
      <c r="H392" s="31"/>
    </row>
    <row r="393" spans="4:8" ht="15.75" customHeight="1" x14ac:dyDescent="0.3">
      <c r="D393" s="31"/>
      <c r="G393" s="31"/>
      <c r="H393" s="31"/>
    </row>
    <row r="394" spans="4:8" ht="15.75" customHeight="1" x14ac:dyDescent="0.3">
      <c r="D394" s="31"/>
      <c r="G394" s="31"/>
      <c r="H394" s="31"/>
    </row>
    <row r="395" spans="4:8" ht="15.75" customHeight="1" x14ac:dyDescent="0.3">
      <c r="D395" s="31"/>
      <c r="G395" s="31"/>
      <c r="H395" s="31"/>
    </row>
    <row r="396" spans="4:8" ht="15.75" customHeight="1" x14ac:dyDescent="0.3">
      <c r="D396" s="31"/>
      <c r="G396" s="31"/>
      <c r="H396" s="31"/>
    </row>
    <row r="397" spans="4:8" ht="15.75" customHeight="1" x14ac:dyDescent="0.3">
      <c r="D397" s="31"/>
      <c r="G397" s="31"/>
      <c r="H397" s="31"/>
    </row>
    <row r="398" spans="4:8" ht="15.75" customHeight="1" x14ac:dyDescent="0.3">
      <c r="D398" s="31"/>
      <c r="G398" s="31"/>
      <c r="H398" s="31"/>
    </row>
    <row r="399" spans="4:8" ht="15.75" customHeight="1" x14ac:dyDescent="0.3">
      <c r="D399" s="31"/>
      <c r="G399" s="31"/>
      <c r="H399" s="31"/>
    </row>
    <row r="400" spans="4:8" ht="15.75" customHeight="1" x14ac:dyDescent="0.3">
      <c r="D400" s="31"/>
      <c r="G400" s="31"/>
      <c r="H400" s="31"/>
    </row>
    <row r="401" spans="4:8" ht="15.75" customHeight="1" x14ac:dyDescent="0.3">
      <c r="D401" s="31"/>
      <c r="G401" s="31"/>
      <c r="H401" s="31"/>
    </row>
    <row r="402" spans="4:8" ht="15.75" customHeight="1" x14ac:dyDescent="0.3">
      <c r="D402" s="31"/>
      <c r="G402" s="31"/>
      <c r="H402" s="31"/>
    </row>
    <row r="403" spans="4:8" ht="15.75" customHeight="1" x14ac:dyDescent="0.3">
      <c r="D403" s="31"/>
      <c r="G403" s="31"/>
      <c r="H403" s="31"/>
    </row>
    <row r="404" spans="4:8" ht="15.75" customHeight="1" x14ac:dyDescent="0.3">
      <c r="D404" s="31"/>
      <c r="G404" s="31"/>
      <c r="H404" s="31"/>
    </row>
    <row r="405" spans="4:8" ht="15.75" customHeight="1" x14ac:dyDescent="0.3">
      <c r="D405" s="31"/>
      <c r="G405" s="31"/>
      <c r="H405" s="31"/>
    </row>
    <row r="406" spans="4:8" ht="15.75" customHeight="1" x14ac:dyDescent="0.3">
      <c r="D406" s="31"/>
      <c r="G406" s="31"/>
      <c r="H406" s="31"/>
    </row>
    <row r="407" spans="4:8" ht="15.75" customHeight="1" x14ac:dyDescent="0.3">
      <c r="D407" s="31"/>
      <c r="G407" s="31"/>
      <c r="H407" s="31"/>
    </row>
    <row r="408" spans="4:8" ht="15.75" customHeight="1" x14ac:dyDescent="0.3">
      <c r="D408" s="31"/>
      <c r="G408" s="31"/>
      <c r="H408" s="31"/>
    </row>
    <row r="409" spans="4:8" ht="15.75" customHeight="1" x14ac:dyDescent="0.3">
      <c r="D409" s="31"/>
      <c r="G409" s="31"/>
      <c r="H409" s="31"/>
    </row>
    <row r="410" spans="4:8" ht="15.75" customHeight="1" x14ac:dyDescent="0.3">
      <c r="D410" s="31"/>
      <c r="G410" s="31"/>
      <c r="H410" s="31"/>
    </row>
    <row r="411" spans="4:8" ht="15.75" customHeight="1" x14ac:dyDescent="0.3">
      <c r="D411" s="31"/>
      <c r="G411" s="31"/>
      <c r="H411" s="31"/>
    </row>
    <row r="412" spans="4:8" ht="15.75" customHeight="1" x14ac:dyDescent="0.3">
      <c r="D412" s="31"/>
      <c r="G412" s="31"/>
      <c r="H412" s="31"/>
    </row>
    <row r="413" spans="4:8" ht="15.75" customHeight="1" x14ac:dyDescent="0.3">
      <c r="D413" s="31"/>
      <c r="G413" s="31"/>
      <c r="H413" s="31"/>
    </row>
    <row r="414" spans="4:8" ht="15.75" customHeight="1" x14ac:dyDescent="0.3">
      <c r="D414" s="31"/>
      <c r="G414" s="31"/>
      <c r="H414" s="31"/>
    </row>
    <row r="415" spans="4:8" ht="15.75" customHeight="1" x14ac:dyDescent="0.3">
      <c r="D415" s="31"/>
      <c r="G415" s="31"/>
      <c r="H415" s="31"/>
    </row>
    <row r="416" spans="4:8" ht="15.75" customHeight="1" x14ac:dyDescent="0.3">
      <c r="D416" s="31"/>
      <c r="G416" s="31"/>
      <c r="H416" s="31"/>
    </row>
    <row r="417" spans="4:8" ht="15.75" customHeight="1" x14ac:dyDescent="0.3">
      <c r="D417" s="31"/>
      <c r="G417" s="31"/>
      <c r="H417" s="31"/>
    </row>
    <row r="418" spans="4:8" ht="15.75" customHeight="1" x14ac:dyDescent="0.3">
      <c r="D418" s="31"/>
      <c r="G418" s="31"/>
      <c r="H418" s="31"/>
    </row>
    <row r="419" spans="4:8" ht="15.75" customHeight="1" x14ac:dyDescent="0.3">
      <c r="D419" s="31"/>
      <c r="G419" s="31"/>
      <c r="H419" s="31"/>
    </row>
    <row r="420" spans="4:8" ht="15.75" customHeight="1" x14ac:dyDescent="0.3">
      <c r="D420" s="31"/>
      <c r="G420" s="31"/>
      <c r="H420" s="31"/>
    </row>
    <row r="421" spans="4:8" ht="15.75" customHeight="1" x14ac:dyDescent="0.3">
      <c r="D421" s="31"/>
      <c r="G421" s="31"/>
      <c r="H421" s="31"/>
    </row>
    <row r="422" spans="4:8" ht="15.75" customHeight="1" x14ac:dyDescent="0.3">
      <c r="D422" s="31"/>
      <c r="G422" s="31"/>
      <c r="H422" s="31"/>
    </row>
    <row r="423" spans="4:8" ht="15.75" customHeight="1" x14ac:dyDescent="0.3">
      <c r="D423" s="31"/>
      <c r="G423" s="31"/>
      <c r="H423" s="31"/>
    </row>
    <row r="424" spans="4:8" ht="15.75" customHeight="1" x14ac:dyDescent="0.3">
      <c r="D424" s="31"/>
      <c r="G424" s="31"/>
      <c r="H424" s="31"/>
    </row>
    <row r="425" spans="4:8" ht="15.75" customHeight="1" x14ac:dyDescent="0.3">
      <c r="D425" s="31"/>
      <c r="G425" s="31"/>
      <c r="H425" s="31"/>
    </row>
    <row r="426" spans="4:8" ht="15.75" customHeight="1" x14ac:dyDescent="0.3">
      <c r="D426" s="31"/>
      <c r="G426" s="31"/>
      <c r="H426" s="31"/>
    </row>
    <row r="427" spans="4:8" ht="15.75" customHeight="1" x14ac:dyDescent="0.3">
      <c r="D427" s="31"/>
      <c r="G427" s="31"/>
      <c r="H427" s="31"/>
    </row>
    <row r="428" spans="4:8" ht="15.75" customHeight="1" x14ac:dyDescent="0.3">
      <c r="D428" s="31"/>
      <c r="G428" s="31"/>
      <c r="H428" s="31"/>
    </row>
    <row r="429" spans="4:8" ht="15.75" customHeight="1" x14ac:dyDescent="0.3">
      <c r="D429" s="31"/>
      <c r="G429" s="31"/>
      <c r="H429" s="31"/>
    </row>
    <row r="430" spans="4:8" ht="15.75" customHeight="1" x14ac:dyDescent="0.3">
      <c r="D430" s="31"/>
      <c r="G430" s="31"/>
      <c r="H430" s="31"/>
    </row>
    <row r="431" spans="4:8" ht="15.75" customHeight="1" x14ac:dyDescent="0.3">
      <c r="D431" s="31"/>
      <c r="G431" s="31"/>
      <c r="H431" s="31"/>
    </row>
    <row r="432" spans="4:8" ht="15.75" customHeight="1" x14ac:dyDescent="0.3">
      <c r="D432" s="31"/>
      <c r="G432" s="31"/>
      <c r="H432" s="31"/>
    </row>
    <row r="433" spans="4:8" ht="15.75" customHeight="1" x14ac:dyDescent="0.3">
      <c r="D433" s="31"/>
      <c r="G433" s="31"/>
      <c r="H433" s="31"/>
    </row>
    <row r="434" spans="4:8" ht="15.75" customHeight="1" x14ac:dyDescent="0.3">
      <c r="D434" s="31"/>
      <c r="G434" s="31"/>
      <c r="H434" s="31"/>
    </row>
    <row r="435" spans="4:8" ht="15.75" customHeight="1" x14ac:dyDescent="0.3">
      <c r="D435" s="31"/>
      <c r="G435" s="31"/>
      <c r="H435" s="31"/>
    </row>
    <row r="436" spans="4:8" ht="15.75" customHeight="1" x14ac:dyDescent="0.3">
      <c r="D436" s="31"/>
      <c r="G436" s="31"/>
      <c r="H436" s="31"/>
    </row>
    <row r="437" spans="4:8" ht="15.75" customHeight="1" x14ac:dyDescent="0.3">
      <c r="D437" s="31"/>
      <c r="G437" s="31"/>
      <c r="H437" s="31"/>
    </row>
    <row r="438" spans="4:8" ht="15.75" customHeight="1" x14ac:dyDescent="0.3">
      <c r="D438" s="31"/>
      <c r="G438" s="31"/>
      <c r="H438" s="31"/>
    </row>
    <row r="439" spans="4:8" ht="15.75" customHeight="1" x14ac:dyDescent="0.3">
      <c r="D439" s="31"/>
      <c r="G439" s="31"/>
      <c r="H439" s="31"/>
    </row>
    <row r="440" spans="4:8" ht="15.75" customHeight="1" x14ac:dyDescent="0.3">
      <c r="D440" s="31"/>
      <c r="G440" s="31"/>
      <c r="H440" s="31"/>
    </row>
    <row r="441" spans="4:8" ht="15.75" customHeight="1" x14ac:dyDescent="0.3">
      <c r="D441" s="31"/>
      <c r="G441" s="31"/>
      <c r="H441" s="31"/>
    </row>
    <row r="442" spans="4:8" ht="15.75" customHeight="1" x14ac:dyDescent="0.3">
      <c r="D442" s="31"/>
      <c r="G442" s="31"/>
      <c r="H442" s="31"/>
    </row>
    <row r="443" spans="4:8" ht="15.75" customHeight="1" x14ac:dyDescent="0.3">
      <c r="D443" s="31"/>
      <c r="G443" s="31"/>
      <c r="H443" s="31"/>
    </row>
    <row r="444" spans="4:8" ht="15.75" customHeight="1" x14ac:dyDescent="0.3">
      <c r="D444" s="31"/>
      <c r="G444" s="31"/>
      <c r="H444" s="31"/>
    </row>
    <row r="445" spans="4:8" ht="15.75" customHeight="1" x14ac:dyDescent="0.3">
      <c r="D445" s="31"/>
      <c r="G445" s="31"/>
      <c r="H445" s="31"/>
    </row>
    <row r="446" spans="4:8" ht="15.75" customHeight="1" x14ac:dyDescent="0.3">
      <c r="D446" s="31"/>
      <c r="G446" s="31"/>
      <c r="H446" s="31"/>
    </row>
    <row r="447" spans="4:8" ht="15.75" customHeight="1" x14ac:dyDescent="0.3">
      <c r="D447" s="31"/>
      <c r="G447" s="31"/>
      <c r="H447" s="31"/>
    </row>
    <row r="448" spans="4:8" ht="15.75" customHeight="1" x14ac:dyDescent="0.3">
      <c r="D448" s="31"/>
      <c r="G448" s="31"/>
      <c r="H448" s="31"/>
    </row>
    <row r="449" spans="4:8" ht="15.75" customHeight="1" x14ac:dyDescent="0.3">
      <c r="D449" s="31"/>
      <c r="G449" s="31"/>
      <c r="H449" s="31"/>
    </row>
    <row r="450" spans="4:8" ht="15.75" customHeight="1" x14ac:dyDescent="0.3">
      <c r="D450" s="31"/>
      <c r="G450" s="31"/>
      <c r="H450" s="31"/>
    </row>
    <row r="451" spans="4:8" ht="15.75" customHeight="1" x14ac:dyDescent="0.3">
      <c r="D451" s="31"/>
      <c r="G451" s="31"/>
      <c r="H451" s="31"/>
    </row>
    <row r="452" spans="4:8" ht="15.75" customHeight="1" x14ac:dyDescent="0.3">
      <c r="D452" s="31"/>
      <c r="G452" s="31"/>
      <c r="H452" s="31"/>
    </row>
    <row r="453" spans="4:8" ht="15.75" customHeight="1" x14ac:dyDescent="0.3">
      <c r="D453" s="31"/>
      <c r="G453" s="31"/>
      <c r="H453" s="31"/>
    </row>
    <row r="454" spans="4:8" ht="15.75" customHeight="1" x14ac:dyDescent="0.3">
      <c r="D454" s="31"/>
      <c r="G454" s="31"/>
      <c r="H454" s="31"/>
    </row>
    <row r="455" spans="4:8" ht="15.75" customHeight="1" x14ac:dyDescent="0.3">
      <c r="D455" s="31"/>
      <c r="G455" s="31"/>
      <c r="H455" s="31"/>
    </row>
    <row r="456" spans="4:8" ht="15.75" customHeight="1" x14ac:dyDescent="0.3">
      <c r="D456" s="31"/>
      <c r="G456" s="31"/>
      <c r="H456" s="31"/>
    </row>
    <row r="457" spans="4:8" ht="15.75" customHeight="1" x14ac:dyDescent="0.3">
      <c r="D457" s="31"/>
      <c r="G457" s="31"/>
      <c r="H457" s="31"/>
    </row>
    <row r="458" spans="4:8" ht="15.75" customHeight="1" x14ac:dyDescent="0.3">
      <c r="D458" s="31"/>
      <c r="G458" s="31"/>
      <c r="H458" s="31"/>
    </row>
    <row r="459" spans="4:8" ht="15.75" customHeight="1" x14ac:dyDescent="0.3">
      <c r="D459" s="31"/>
      <c r="G459" s="31"/>
      <c r="H459" s="31"/>
    </row>
    <row r="460" spans="4:8" ht="15.75" customHeight="1" x14ac:dyDescent="0.3">
      <c r="D460" s="31"/>
      <c r="G460" s="31"/>
      <c r="H460" s="31"/>
    </row>
    <row r="461" spans="4:8" ht="15.75" customHeight="1" x14ac:dyDescent="0.3">
      <c r="D461" s="31"/>
      <c r="G461" s="31"/>
      <c r="H461" s="31"/>
    </row>
    <row r="462" spans="4:8" ht="15.75" customHeight="1" x14ac:dyDescent="0.3">
      <c r="D462" s="31"/>
      <c r="G462" s="31"/>
      <c r="H462" s="31"/>
    </row>
    <row r="463" spans="4:8" ht="15.75" customHeight="1" x14ac:dyDescent="0.3">
      <c r="D463" s="31"/>
      <c r="G463" s="31"/>
      <c r="H463" s="31"/>
    </row>
    <row r="464" spans="4:8" ht="15.75" customHeight="1" x14ac:dyDescent="0.3">
      <c r="D464" s="31"/>
      <c r="G464" s="31"/>
      <c r="H464" s="31"/>
    </row>
    <row r="465" spans="4:8" ht="15.75" customHeight="1" x14ac:dyDescent="0.3">
      <c r="D465" s="31"/>
      <c r="G465" s="31"/>
      <c r="H465" s="31"/>
    </row>
    <row r="466" spans="4:8" ht="15.75" customHeight="1" x14ac:dyDescent="0.3">
      <c r="D466" s="31"/>
      <c r="G466" s="31"/>
      <c r="H466" s="31"/>
    </row>
    <row r="467" spans="4:8" ht="15.75" customHeight="1" x14ac:dyDescent="0.3">
      <c r="D467" s="31"/>
      <c r="G467" s="31"/>
      <c r="H467" s="31"/>
    </row>
    <row r="468" spans="4:8" ht="15.75" customHeight="1" x14ac:dyDescent="0.3">
      <c r="D468" s="31"/>
      <c r="G468" s="31"/>
      <c r="H468" s="31"/>
    </row>
    <row r="469" spans="4:8" ht="15.75" customHeight="1" x14ac:dyDescent="0.3">
      <c r="D469" s="31"/>
      <c r="G469" s="31"/>
      <c r="H469" s="31"/>
    </row>
    <row r="470" spans="4:8" ht="15.75" customHeight="1" x14ac:dyDescent="0.3">
      <c r="D470" s="31"/>
      <c r="G470" s="31"/>
      <c r="H470" s="31"/>
    </row>
    <row r="471" spans="4:8" ht="15.75" customHeight="1" x14ac:dyDescent="0.3">
      <c r="D471" s="31"/>
      <c r="G471" s="31"/>
      <c r="H471" s="31"/>
    </row>
    <row r="472" spans="4:8" ht="15.75" customHeight="1" x14ac:dyDescent="0.3">
      <c r="D472" s="31"/>
      <c r="G472" s="31"/>
      <c r="H472" s="31"/>
    </row>
    <row r="473" spans="4:8" ht="15.75" customHeight="1" x14ac:dyDescent="0.3">
      <c r="D473" s="31"/>
      <c r="G473" s="31"/>
      <c r="H473" s="31"/>
    </row>
    <row r="474" spans="4:8" ht="15.75" customHeight="1" x14ac:dyDescent="0.3">
      <c r="D474" s="31"/>
      <c r="G474" s="31"/>
      <c r="H474" s="31"/>
    </row>
    <row r="475" spans="4:8" ht="15.75" customHeight="1" x14ac:dyDescent="0.3">
      <c r="D475" s="31"/>
      <c r="G475" s="31"/>
      <c r="H475" s="31"/>
    </row>
    <row r="476" spans="4:8" ht="15.75" customHeight="1" x14ac:dyDescent="0.3">
      <c r="D476" s="31"/>
      <c r="G476" s="31"/>
      <c r="H476" s="31"/>
    </row>
    <row r="477" spans="4:8" ht="15.75" customHeight="1" x14ac:dyDescent="0.3">
      <c r="D477" s="31"/>
      <c r="G477" s="31"/>
      <c r="H477" s="31"/>
    </row>
    <row r="478" spans="4:8" ht="15.75" customHeight="1" x14ac:dyDescent="0.3">
      <c r="D478" s="31"/>
      <c r="G478" s="31"/>
      <c r="H478" s="31"/>
    </row>
    <row r="479" spans="4:8" ht="15.75" customHeight="1" x14ac:dyDescent="0.3">
      <c r="D479" s="31"/>
      <c r="G479" s="31"/>
      <c r="H479" s="31"/>
    </row>
    <row r="480" spans="4:8" ht="15.75" customHeight="1" x14ac:dyDescent="0.3">
      <c r="D480" s="31"/>
      <c r="G480" s="31"/>
      <c r="H480" s="31"/>
    </row>
    <row r="481" spans="4:8" ht="15.75" customHeight="1" x14ac:dyDescent="0.3">
      <c r="D481" s="31"/>
      <c r="G481" s="31"/>
      <c r="H481" s="31"/>
    </row>
    <row r="482" spans="4:8" ht="15.75" customHeight="1" x14ac:dyDescent="0.3">
      <c r="D482" s="31"/>
      <c r="G482" s="31"/>
      <c r="H482" s="31"/>
    </row>
    <row r="483" spans="4:8" ht="15.75" customHeight="1" x14ac:dyDescent="0.3">
      <c r="D483" s="31"/>
      <c r="G483" s="31"/>
      <c r="H483" s="31"/>
    </row>
    <row r="484" spans="4:8" ht="15.75" customHeight="1" x14ac:dyDescent="0.3">
      <c r="D484" s="31"/>
      <c r="G484" s="31"/>
      <c r="H484" s="31"/>
    </row>
    <row r="485" spans="4:8" ht="15.75" customHeight="1" x14ac:dyDescent="0.3">
      <c r="D485" s="31"/>
      <c r="G485" s="31"/>
      <c r="H485" s="31"/>
    </row>
    <row r="486" spans="4:8" ht="15.75" customHeight="1" x14ac:dyDescent="0.3">
      <c r="D486" s="31"/>
      <c r="G486" s="31"/>
      <c r="H486" s="31"/>
    </row>
    <row r="487" spans="4:8" ht="15.75" customHeight="1" x14ac:dyDescent="0.3">
      <c r="D487" s="31"/>
      <c r="G487" s="31"/>
      <c r="H487" s="31"/>
    </row>
    <row r="488" spans="4:8" ht="15.75" customHeight="1" x14ac:dyDescent="0.3">
      <c r="D488" s="31"/>
      <c r="G488" s="31"/>
      <c r="H488" s="31"/>
    </row>
    <row r="489" spans="4:8" ht="15.75" customHeight="1" x14ac:dyDescent="0.3">
      <c r="D489" s="31"/>
      <c r="G489" s="31"/>
      <c r="H489" s="31"/>
    </row>
    <row r="490" spans="4:8" ht="15.75" customHeight="1" x14ac:dyDescent="0.3">
      <c r="D490" s="31"/>
      <c r="G490" s="31"/>
      <c r="H490" s="31"/>
    </row>
    <row r="491" spans="4:8" ht="15.75" customHeight="1" x14ac:dyDescent="0.3">
      <c r="D491" s="31"/>
      <c r="G491" s="31"/>
      <c r="H491" s="31"/>
    </row>
    <row r="492" spans="4:8" ht="15.75" customHeight="1" x14ac:dyDescent="0.3">
      <c r="D492" s="31"/>
      <c r="G492" s="31"/>
      <c r="H492" s="31"/>
    </row>
    <row r="493" spans="4:8" ht="15.75" customHeight="1" x14ac:dyDescent="0.3">
      <c r="D493" s="31"/>
      <c r="G493" s="31"/>
      <c r="H493" s="31"/>
    </row>
    <row r="494" spans="4:8" ht="15.75" customHeight="1" x14ac:dyDescent="0.3">
      <c r="D494" s="31"/>
      <c r="G494" s="31"/>
      <c r="H494" s="31"/>
    </row>
    <row r="495" spans="4:8" ht="15.75" customHeight="1" x14ac:dyDescent="0.3">
      <c r="D495" s="31"/>
      <c r="G495" s="31"/>
      <c r="H495" s="31"/>
    </row>
    <row r="496" spans="4:8" ht="15.75" customHeight="1" x14ac:dyDescent="0.3">
      <c r="D496" s="31"/>
      <c r="G496" s="31"/>
      <c r="H496" s="31"/>
    </row>
    <row r="497" spans="4:8" ht="15.75" customHeight="1" x14ac:dyDescent="0.3">
      <c r="D497" s="31"/>
      <c r="G497" s="31"/>
      <c r="H497" s="31"/>
    </row>
    <row r="498" spans="4:8" ht="15.75" customHeight="1" x14ac:dyDescent="0.3">
      <c r="D498" s="31"/>
      <c r="G498" s="31"/>
      <c r="H498" s="31"/>
    </row>
    <row r="499" spans="4:8" ht="15.75" customHeight="1" x14ac:dyDescent="0.3">
      <c r="D499" s="31"/>
      <c r="G499" s="31"/>
      <c r="H499" s="31"/>
    </row>
    <row r="500" spans="4:8" ht="15.75" customHeight="1" x14ac:dyDescent="0.3">
      <c r="D500" s="31"/>
      <c r="G500" s="31"/>
      <c r="H500" s="31"/>
    </row>
    <row r="501" spans="4:8" ht="15.75" customHeight="1" x14ac:dyDescent="0.3"/>
    <row r="502" spans="4:8" ht="15.75" customHeight="1" x14ac:dyDescent="0.3"/>
    <row r="503" spans="4:8" ht="15.75" customHeight="1" x14ac:dyDescent="0.3"/>
    <row r="504" spans="4:8" ht="15.75" customHeight="1" x14ac:dyDescent="0.3"/>
    <row r="505" spans="4:8" ht="15.75" customHeight="1" x14ac:dyDescent="0.3"/>
    <row r="506" spans="4:8" ht="15.75" customHeight="1" x14ac:dyDescent="0.3"/>
    <row r="507" spans="4:8" ht="15.75" customHeight="1" x14ac:dyDescent="0.3"/>
    <row r="508" spans="4:8" ht="15.75" customHeight="1" x14ac:dyDescent="0.3"/>
    <row r="509" spans="4:8" ht="15.75" customHeight="1" x14ac:dyDescent="0.3"/>
    <row r="510" spans="4:8" ht="15.75" customHeight="1" x14ac:dyDescent="0.3"/>
    <row r="511" spans="4:8" ht="15.75" customHeight="1" x14ac:dyDescent="0.3"/>
    <row r="512" spans="4:8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B1:J1"/>
    <mergeCell ref="B44:D44"/>
    <mergeCell ref="B2:J2"/>
  </mergeCells>
  <dataValidations count="3">
    <dataValidation type="list" allowBlank="1" sqref="H5:H500" xr:uid="{00000000-0002-0000-0200-000000000000}">
      <formula1>"✅,⏸️,❌"</formula1>
    </dataValidation>
    <dataValidation type="list" allowBlank="1" sqref="G5:G500" xr:uid="{00000000-0002-0000-0200-000001000000}">
      <formula1>"Mensual,Anual,Trimestral,Semestral"</formula1>
    </dataValidation>
    <dataValidation type="list" allowBlank="1" sqref="D5:D43 D45:D500" xr:uid="{00000000-0002-0000-0200-000002000000}">
      <formula1>"Hogar,Suministros,Alimentación,Transporte,Ocio,Salud,Ropa,Tecnología,Otros"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showGridLines="0" workbookViewId="0"/>
  </sheetViews>
  <sheetFormatPr baseColWidth="10" defaultColWidth="14.44140625" defaultRowHeight="15" customHeight="1" x14ac:dyDescent="0.3"/>
  <cols>
    <col min="1" max="1" width="2" customWidth="1"/>
    <col min="2" max="2" width="4" customWidth="1"/>
    <col min="3" max="3" width="14" customWidth="1"/>
    <col min="4" max="4" width="8" customWidth="1"/>
    <col min="5" max="5" width="14" customWidth="1"/>
    <col min="6" max="6" width="20" customWidth="1"/>
    <col min="7" max="7" width="34" customWidth="1"/>
    <col min="8" max="9" width="14" customWidth="1"/>
    <col min="10" max="10" width="16" customWidth="1"/>
    <col min="11" max="11" width="28" customWidth="1"/>
    <col min="12" max="26" width="8.6640625" customWidth="1"/>
  </cols>
  <sheetData>
    <row r="1" spans="2:11" ht="36" customHeight="1" x14ac:dyDescent="0.3">
      <c r="B1" s="136" t="s">
        <v>90</v>
      </c>
      <c r="C1" s="115"/>
      <c r="D1" s="115"/>
      <c r="E1" s="115"/>
      <c r="F1" s="115"/>
      <c r="G1" s="115"/>
      <c r="H1" s="115"/>
      <c r="I1" s="115"/>
      <c r="J1" s="115"/>
      <c r="K1" s="115"/>
    </row>
    <row r="2" spans="2:11" ht="15" customHeight="1" x14ac:dyDescent="0.3">
      <c r="B2" s="137" t="s">
        <v>91</v>
      </c>
      <c r="C2" s="115"/>
      <c r="D2" s="115"/>
      <c r="E2" s="115"/>
      <c r="F2" s="115"/>
      <c r="G2" s="115"/>
      <c r="H2" s="115"/>
      <c r="I2" s="115"/>
      <c r="J2" s="115"/>
      <c r="K2" s="115"/>
    </row>
    <row r="4" spans="2:11" ht="24" customHeight="1" x14ac:dyDescent="0.3">
      <c r="B4" s="73" t="s">
        <v>39</v>
      </c>
      <c r="C4" s="73" t="s">
        <v>40</v>
      </c>
      <c r="D4" s="73" t="s">
        <v>3</v>
      </c>
      <c r="E4" s="73" t="s">
        <v>92</v>
      </c>
      <c r="F4" s="73" t="s">
        <v>51</v>
      </c>
      <c r="G4" s="73" t="s">
        <v>93</v>
      </c>
      <c r="H4" s="73" t="s">
        <v>43</v>
      </c>
      <c r="I4" s="73" t="s">
        <v>94</v>
      </c>
      <c r="J4" s="73" t="s">
        <v>95</v>
      </c>
      <c r="K4" s="73" t="s">
        <v>44</v>
      </c>
    </row>
    <row r="5" spans="2:11" ht="14.4" x14ac:dyDescent="0.3">
      <c r="B5" s="51">
        <v>1</v>
      </c>
      <c r="C5" s="55" t="s">
        <v>5</v>
      </c>
      <c r="D5" s="55">
        <v>2025</v>
      </c>
      <c r="E5" s="55" t="s">
        <v>96</v>
      </c>
      <c r="F5" s="55" t="s">
        <v>97</v>
      </c>
      <c r="G5" s="55" t="s">
        <v>98</v>
      </c>
      <c r="H5" s="74">
        <v>85.3</v>
      </c>
      <c r="I5" s="55" t="s">
        <v>45</v>
      </c>
      <c r="J5" s="55" t="s">
        <v>99</v>
      </c>
      <c r="K5" s="55"/>
    </row>
    <row r="6" spans="2:11" ht="14.4" x14ac:dyDescent="0.3">
      <c r="B6" s="57">
        <v>2</v>
      </c>
      <c r="C6" s="61" t="s">
        <v>5</v>
      </c>
      <c r="D6" s="61">
        <v>2025</v>
      </c>
      <c r="E6" s="61" t="s">
        <v>100</v>
      </c>
      <c r="F6" s="61" t="s">
        <v>79</v>
      </c>
      <c r="G6" s="61" t="s">
        <v>101</v>
      </c>
      <c r="H6" s="75">
        <v>50</v>
      </c>
      <c r="I6" s="61" t="s">
        <v>46</v>
      </c>
      <c r="J6" s="61" t="s">
        <v>99</v>
      </c>
      <c r="K6" s="61"/>
    </row>
    <row r="7" spans="2:11" ht="14.4" x14ac:dyDescent="0.3">
      <c r="B7" s="45">
        <v>3</v>
      </c>
      <c r="C7" s="49" t="s">
        <v>5</v>
      </c>
      <c r="D7" s="49">
        <v>2025</v>
      </c>
      <c r="E7" s="49" t="s">
        <v>102</v>
      </c>
      <c r="F7" s="49" t="s">
        <v>71</v>
      </c>
      <c r="G7" s="49" t="s">
        <v>103</v>
      </c>
      <c r="H7" s="76">
        <v>45</v>
      </c>
      <c r="I7" s="49" t="s">
        <v>104</v>
      </c>
      <c r="J7" s="49" t="s">
        <v>105</v>
      </c>
      <c r="K7" s="49" t="s">
        <v>106</v>
      </c>
    </row>
    <row r="8" spans="2:11" ht="14.4" x14ac:dyDescent="0.3">
      <c r="B8" s="51">
        <v>4</v>
      </c>
      <c r="C8" s="55" t="s">
        <v>5</v>
      </c>
      <c r="D8" s="55">
        <v>2025</v>
      </c>
      <c r="E8" s="55" t="s">
        <v>107</v>
      </c>
      <c r="F8" s="55" t="s">
        <v>97</v>
      </c>
      <c r="G8" s="55" t="s">
        <v>108</v>
      </c>
      <c r="H8" s="74">
        <v>12.5</v>
      </c>
      <c r="I8" s="55" t="s">
        <v>46</v>
      </c>
      <c r="J8" s="55" t="s">
        <v>105</v>
      </c>
      <c r="K8" s="55"/>
    </row>
    <row r="9" spans="2:11" ht="14.4" x14ac:dyDescent="0.3">
      <c r="B9" s="33">
        <v>5</v>
      </c>
      <c r="C9" s="37" t="s">
        <v>5</v>
      </c>
      <c r="D9" s="37">
        <v>2025</v>
      </c>
      <c r="E9" s="37" t="s">
        <v>109</v>
      </c>
      <c r="F9" s="37" t="s">
        <v>75</v>
      </c>
      <c r="G9" s="37" t="s">
        <v>110</v>
      </c>
      <c r="H9" s="77">
        <v>18.899999999999999</v>
      </c>
      <c r="I9" s="37" t="s">
        <v>45</v>
      </c>
      <c r="J9" s="37" t="s">
        <v>99</v>
      </c>
      <c r="K9" s="37"/>
    </row>
    <row r="10" spans="2:11" ht="14.4" x14ac:dyDescent="0.3">
      <c r="B10" s="51">
        <v>6</v>
      </c>
      <c r="C10" s="55" t="s">
        <v>5</v>
      </c>
      <c r="D10" s="55">
        <v>2025</v>
      </c>
      <c r="E10" s="55" t="s">
        <v>111</v>
      </c>
      <c r="F10" s="55" t="s">
        <v>97</v>
      </c>
      <c r="G10" s="55" t="s">
        <v>112</v>
      </c>
      <c r="H10" s="74">
        <v>63.4</v>
      </c>
      <c r="I10" s="55" t="s">
        <v>45</v>
      </c>
      <c r="J10" s="55" t="s">
        <v>99</v>
      </c>
      <c r="K10" s="55"/>
    </row>
    <row r="11" spans="2:11" ht="14.4" x14ac:dyDescent="0.3">
      <c r="B11" s="39">
        <v>7</v>
      </c>
      <c r="C11" s="43" t="s">
        <v>5</v>
      </c>
      <c r="D11" s="43">
        <v>2025</v>
      </c>
      <c r="E11" s="43" t="s">
        <v>113</v>
      </c>
      <c r="F11" s="43" t="s">
        <v>114</v>
      </c>
      <c r="G11" s="43" t="s">
        <v>115</v>
      </c>
      <c r="H11" s="78">
        <v>89</v>
      </c>
      <c r="I11" s="43" t="s">
        <v>46</v>
      </c>
      <c r="J11" s="43" t="s">
        <v>99</v>
      </c>
      <c r="K11" s="43"/>
    </row>
    <row r="12" spans="2:11" ht="14.4" x14ac:dyDescent="0.3">
      <c r="B12" s="57">
        <v>8</v>
      </c>
      <c r="C12" s="61" t="s">
        <v>5</v>
      </c>
      <c r="D12" s="61">
        <v>2025</v>
      </c>
      <c r="E12" s="61" t="s">
        <v>116</v>
      </c>
      <c r="F12" s="61" t="s">
        <v>79</v>
      </c>
      <c r="G12" s="61" t="s">
        <v>117</v>
      </c>
      <c r="H12" s="75">
        <v>8</v>
      </c>
      <c r="I12" s="61" t="s">
        <v>45</v>
      </c>
      <c r="J12" s="61" t="s">
        <v>105</v>
      </c>
      <c r="K12" s="61"/>
    </row>
    <row r="13" spans="2:11" ht="14.4" x14ac:dyDescent="0.3">
      <c r="B13" s="51">
        <v>9</v>
      </c>
      <c r="C13" s="55" t="s">
        <v>5</v>
      </c>
      <c r="D13" s="55">
        <v>2025</v>
      </c>
      <c r="E13" s="55" t="s">
        <v>118</v>
      </c>
      <c r="F13" s="55" t="s">
        <v>97</v>
      </c>
      <c r="G13" s="55" t="s">
        <v>119</v>
      </c>
      <c r="H13" s="74">
        <v>32</v>
      </c>
      <c r="I13" s="55" t="s">
        <v>45</v>
      </c>
      <c r="J13" s="55" t="s">
        <v>105</v>
      </c>
      <c r="K13" s="55"/>
    </row>
    <row r="14" spans="2:11" ht="14.4" x14ac:dyDescent="0.3">
      <c r="B14" s="51">
        <v>10</v>
      </c>
      <c r="C14" s="55" t="s">
        <v>47</v>
      </c>
      <c r="D14" s="55">
        <v>2025</v>
      </c>
      <c r="E14" s="55" t="s">
        <v>120</v>
      </c>
      <c r="F14" s="55" t="s">
        <v>97</v>
      </c>
      <c r="G14" s="55" t="s">
        <v>121</v>
      </c>
      <c r="H14" s="74">
        <v>91.2</v>
      </c>
      <c r="I14" s="55" t="s">
        <v>46</v>
      </c>
      <c r="J14" s="55" t="s">
        <v>99</v>
      </c>
      <c r="K14" s="55"/>
    </row>
    <row r="15" spans="2:11" ht="14.4" x14ac:dyDescent="0.3">
      <c r="B15" s="79"/>
      <c r="C15" s="79"/>
      <c r="D15" s="79"/>
      <c r="E15" s="79"/>
      <c r="F15" s="79"/>
      <c r="G15" s="79"/>
      <c r="H15" s="80"/>
      <c r="I15" s="79"/>
      <c r="J15" s="79"/>
      <c r="K15" s="79"/>
    </row>
    <row r="16" spans="2:11" ht="14.4" x14ac:dyDescent="0.3">
      <c r="B16" s="29"/>
      <c r="C16" s="29"/>
      <c r="D16" s="29"/>
      <c r="E16" s="29"/>
      <c r="F16" s="29"/>
      <c r="G16" s="29"/>
      <c r="H16" s="30"/>
      <c r="I16" s="29"/>
      <c r="J16" s="29"/>
      <c r="K16" s="29"/>
    </row>
    <row r="17" spans="2:11" ht="14.4" x14ac:dyDescent="0.3">
      <c r="B17" s="79"/>
      <c r="C17" s="79"/>
      <c r="D17" s="79"/>
      <c r="E17" s="79"/>
      <c r="F17" s="79"/>
      <c r="G17" s="79"/>
      <c r="H17" s="80"/>
      <c r="I17" s="79"/>
      <c r="J17" s="79"/>
      <c r="K17" s="79"/>
    </row>
    <row r="18" spans="2:11" ht="14.4" x14ac:dyDescent="0.3">
      <c r="B18" s="29"/>
      <c r="C18" s="29"/>
      <c r="D18" s="29"/>
      <c r="E18" s="29"/>
      <c r="F18" s="29"/>
      <c r="G18" s="29"/>
      <c r="H18" s="30"/>
      <c r="I18" s="29"/>
      <c r="J18" s="29"/>
      <c r="K18" s="29"/>
    </row>
    <row r="19" spans="2:11" ht="14.4" x14ac:dyDescent="0.3">
      <c r="B19" s="79"/>
      <c r="C19" s="79"/>
      <c r="D19" s="79"/>
      <c r="E19" s="79"/>
      <c r="F19" s="79"/>
      <c r="G19" s="79"/>
      <c r="H19" s="80"/>
      <c r="I19" s="79"/>
      <c r="J19" s="79"/>
      <c r="K19" s="79"/>
    </row>
    <row r="20" spans="2:11" ht="14.4" x14ac:dyDescent="0.3">
      <c r="B20" s="29"/>
      <c r="C20" s="29"/>
      <c r="D20" s="29"/>
      <c r="E20" s="29"/>
      <c r="F20" s="29"/>
      <c r="G20" s="29"/>
      <c r="H20" s="30"/>
      <c r="I20" s="29"/>
      <c r="J20" s="29"/>
      <c r="K20" s="29"/>
    </row>
    <row r="21" spans="2:11" ht="15.75" customHeight="1" x14ac:dyDescent="0.3">
      <c r="B21" s="79"/>
      <c r="C21" s="79"/>
      <c r="D21" s="79"/>
      <c r="E21" s="79"/>
      <c r="F21" s="79"/>
      <c r="G21" s="79"/>
      <c r="H21" s="80"/>
      <c r="I21" s="79"/>
      <c r="J21" s="79"/>
      <c r="K21" s="79"/>
    </row>
    <row r="22" spans="2:11" ht="15.75" customHeight="1" x14ac:dyDescent="0.3">
      <c r="B22" s="29"/>
      <c r="C22" s="29"/>
      <c r="D22" s="29"/>
      <c r="E22" s="29"/>
      <c r="F22" s="29"/>
      <c r="G22" s="29"/>
      <c r="H22" s="30"/>
      <c r="I22" s="29"/>
      <c r="J22" s="29"/>
      <c r="K22" s="29"/>
    </row>
    <row r="23" spans="2:11" ht="15.75" customHeight="1" x14ac:dyDescent="0.3">
      <c r="B23" s="79"/>
      <c r="C23" s="79"/>
      <c r="D23" s="79"/>
      <c r="E23" s="79"/>
      <c r="F23" s="79"/>
      <c r="G23" s="79"/>
      <c r="H23" s="80"/>
      <c r="I23" s="79"/>
      <c r="J23" s="79"/>
      <c r="K23" s="79"/>
    </row>
    <row r="24" spans="2:11" ht="15.75" customHeight="1" x14ac:dyDescent="0.3">
      <c r="B24" s="29"/>
      <c r="C24" s="29"/>
      <c r="D24" s="29"/>
      <c r="E24" s="29"/>
      <c r="F24" s="29"/>
      <c r="G24" s="29"/>
      <c r="H24" s="30"/>
      <c r="I24" s="29"/>
      <c r="J24" s="29"/>
      <c r="K24" s="29"/>
    </row>
    <row r="25" spans="2:11" ht="15.75" customHeight="1" x14ac:dyDescent="0.3">
      <c r="B25" s="79"/>
      <c r="C25" s="79"/>
      <c r="D25" s="79"/>
      <c r="E25" s="79"/>
      <c r="F25" s="79"/>
      <c r="G25" s="79"/>
      <c r="H25" s="80"/>
      <c r="I25" s="79"/>
      <c r="J25" s="79"/>
      <c r="K25" s="79"/>
    </row>
    <row r="26" spans="2:11" ht="15.75" customHeight="1" x14ac:dyDescent="0.3">
      <c r="B26" s="29"/>
      <c r="C26" s="29"/>
      <c r="D26" s="29"/>
      <c r="E26" s="29"/>
      <c r="F26" s="29"/>
      <c r="G26" s="29"/>
      <c r="H26" s="30"/>
      <c r="I26" s="29"/>
      <c r="J26" s="29"/>
      <c r="K26" s="29"/>
    </row>
    <row r="27" spans="2:11" ht="15.75" customHeight="1" x14ac:dyDescent="0.3">
      <c r="B27" s="79"/>
      <c r="C27" s="79"/>
      <c r="D27" s="79"/>
      <c r="E27" s="79"/>
      <c r="F27" s="79"/>
      <c r="G27" s="79"/>
      <c r="H27" s="80"/>
      <c r="I27" s="79"/>
      <c r="J27" s="79"/>
      <c r="K27" s="79"/>
    </row>
    <row r="28" spans="2:11" ht="15.75" customHeight="1" x14ac:dyDescent="0.3">
      <c r="B28" s="29"/>
      <c r="C28" s="29"/>
      <c r="D28" s="29"/>
      <c r="E28" s="29"/>
      <c r="F28" s="29"/>
      <c r="G28" s="29"/>
      <c r="H28" s="30"/>
      <c r="I28" s="29"/>
      <c r="J28" s="29"/>
      <c r="K28" s="29"/>
    </row>
    <row r="29" spans="2:11" ht="15.75" customHeight="1" x14ac:dyDescent="0.3">
      <c r="B29" s="79"/>
      <c r="C29" s="79"/>
      <c r="D29" s="79"/>
      <c r="E29" s="79"/>
      <c r="F29" s="79"/>
      <c r="G29" s="79"/>
      <c r="H29" s="80"/>
      <c r="I29" s="79"/>
      <c r="J29" s="79"/>
      <c r="K29" s="79"/>
    </row>
    <row r="30" spans="2:11" ht="15.75" customHeight="1" x14ac:dyDescent="0.3">
      <c r="B30" s="29"/>
      <c r="C30" s="29"/>
      <c r="D30" s="29"/>
      <c r="E30" s="29"/>
      <c r="F30" s="29"/>
      <c r="G30" s="29"/>
      <c r="H30" s="30"/>
      <c r="I30" s="29"/>
      <c r="J30" s="29"/>
      <c r="K30" s="29"/>
    </row>
    <row r="31" spans="2:11" ht="15.75" customHeight="1" x14ac:dyDescent="0.3">
      <c r="B31" s="79"/>
      <c r="C31" s="79"/>
      <c r="D31" s="79"/>
      <c r="E31" s="79"/>
      <c r="F31" s="79"/>
      <c r="G31" s="79"/>
      <c r="H31" s="80"/>
      <c r="I31" s="79"/>
      <c r="J31" s="79"/>
      <c r="K31" s="79"/>
    </row>
    <row r="32" spans="2:11" ht="15.75" customHeight="1" x14ac:dyDescent="0.3">
      <c r="B32" s="29"/>
      <c r="C32" s="29"/>
      <c r="D32" s="29"/>
      <c r="E32" s="29"/>
      <c r="F32" s="29"/>
      <c r="G32" s="29"/>
      <c r="H32" s="30"/>
      <c r="I32" s="29"/>
      <c r="J32" s="29"/>
      <c r="K32" s="29"/>
    </row>
    <row r="33" spans="2:11" ht="15.75" customHeight="1" x14ac:dyDescent="0.3">
      <c r="B33" s="79"/>
      <c r="C33" s="79"/>
      <c r="D33" s="79"/>
      <c r="E33" s="79"/>
      <c r="F33" s="79"/>
      <c r="G33" s="79"/>
      <c r="H33" s="80"/>
      <c r="I33" s="79"/>
      <c r="J33" s="79"/>
      <c r="K33" s="79"/>
    </row>
    <row r="34" spans="2:11" ht="15.75" customHeight="1" x14ac:dyDescent="0.3">
      <c r="B34" s="29"/>
      <c r="C34" s="29"/>
      <c r="D34" s="29"/>
      <c r="E34" s="29"/>
      <c r="F34" s="29"/>
      <c r="G34" s="29"/>
      <c r="H34" s="30"/>
      <c r="I34" s="29"/>
      <c r="J34" s="29"/>
      <c r="K34" s="29"/>
    </row>
    <row r="35" spans="2:11" ht="15.75" customHeight="1" x14ac:dyDescent="0.3">
      <c r="B35" s="79"/>
      <c r="C35" s="79"/>
      <c r="D35" s="79"/>
      <c r="E35" s="79"/>
      <c r="F35" s="79"/>
      <c r="G35" s="79"/>
      <c r="H35" s="80"/>
      <c r="I35" s="79"/>
      <c r="J35" s="79"/>
      <c r="K35" s="79"/>
    </row>
    <row r="36" spans="2:11" ht="15.75" customHeight="1" x14ac:dyDescent="0.3">
      <c r="B36" s="29"/>
      <c r="C36" s="29"/>
      <c r="D36" s="29"/>
      <c r="E36" s="29"/>
      <c r="F36" s="29"/>
      <c r="G36" s="29"/>
      <c r="H36" s="30"/>
      <c r="I36" s="29"/>
      <c r="J36" s="29"/>
      <c r="K36" s="29"/>
    </row>
    <row r="37" spans="2:11" ht="15.75" customHeight="1" x14ac:dyDescent="0.3">
      <c r="B37" s="79"/>
      <c r="C37" s="79"/>
      <c r="D37" s="79"/>
      <c r="E37" s="79"/>
      <c r="F37" s="79"/>
      <c r="G37" s="79"/>
      <c r="H37" s="80"/>
      <c r="I37" s="79"/>
      <c r="J37" s="79"/>
      <c r="K37" s="79"/>
    </row>
    <row r="38" spans="2:11" ht="15.75" customHeight="1" x14ac:dyDescent="0.3">
      <c r="B38" s="29"/>
      <c r="C38" s="29"/>
      <c r="D38" s="29"/>
      <c r="E38" s="29"/>
      <c r="F38" s="29"/>
      <c r="G38" s="29"/>
      <c r="H38" s="30"/>
      <c r="I38" s="29"/>
      <c r="J38" s="29"/>
      <c r="K38" s="29"/>
    </row>
    <row r="39" spans="2:11" ht="15.75" customHeight="1" x14ac:dyDescent="0.3">
      <c r="B39" s="79"/>
      <c r="C39" s="79"/>
      <c r="D39" s="79"/>
      <c r="E39" s="79"/>
      <c r="F39" s="79"/>
      <c r="G39" s="79"/>
      <c r="H39" s="80"/>
      <c r="I39" s="79"/>
      <c r="J39" s="79"/>
      <c r="K39" s="79"/>
    </row>
    <row r="40" spans="2:11" ht="15.75" customHeight="1" x14ac:dyDescent="0.3">
      <c r="B40" s="29"/>
      <c r="C40" s="29"/>
      <c r="D40" s="29"/>
      <c r="E40" s="29"/>
      <c r="F40" s="29"/>
      <c r="G40" s="29"/>
      <c r="H40" s="30"/>
      <c r="I40" s="29"/>
      <c r="J40" s="29"/>
      <c r="K40" s="29"/>
    </row>
    <row r="41" spans="2:11" ht="15.75" customHeight="1" x14ac:dyDescent="0.3">
      <c r="B41" s="79"/>
      <c r="C41" s="79"/>
      <c r="D41" s="79"/>
      <c r="E41" s="79"/>
      <c r="F41" s="79"/>
      <c r="G41" s="79"/>
      <c r="H41" s="80"/>
      <c r="I41" s="79"/>
      <c r="J41" s="79"/>
      <c r="K41" s="79"/>
    </row>
    <row r="42" spans="2:11" ht="15.75" customHeight="1" x14ac:dyDescent="0.3">
      <c r="B42" s="29"/>
      <c r="C42" s="29"/>
      <c r="D42" s="29"/>
      <c r="E42" s="29"/>
      <c r="F42" s="29"/>
      <c r="G42" s="29"/>
      <c r="H42" s="30"/>
      <c r="I42" s="29"/>
      <c r="J42" s="29"/>
      <c r="K42" s="29"/>
    </row>
    <row r="43" spans="2:11" ht="15.75" customHeight="1" x14ac:dyDescent="0.3">
      <c r="B43" s="79"/>
      <c r="C43" s="79"/>
      <c r="D43" s="79"/>
      <c r="E43" s="79"/>
      <c r="F43" s="79"/>
      <c r="G43" s="79"/>
      <c r="H43" s="80"/>
      <c r="I43" s="79"/>
      <c r="J43" s="79"/>
      <c r="K43" s="79"/>
    </row>
    <row r="44" spans="2:11" ht="15.75" customHeight="1" x14ac:dyDescent="0.3">
      <c r="B44" s="29"/>
      <c r="C44" s="29"/>
      <c r="D44" s="29"/>
      <c r="E44" s="29"/>
      <c r="F44" s="29"/>
      <c r="G44" s="29"/>
      <c r="H44" s="30"/>
      <c r="I44" s="29"/>
      <c r="J44" s="29"/>
      <c r="K44" s="29"/>
    </row>
    <row r="45" spans="2:11" ht="15.75" customHeight="1" x14ac:dyDescent="0.3">
      <c r="B45" s="79"/>
      <c r="C45" s="79"/>
      <c r="D45" s="79"/>
      <c r="E45" s="79"/>
      <c r="F45" s="79"/>
      <c r="G45" s="79"/>
      <c r="H45" s="80"/>
      <c r="I45" s="79"/>
      <c r="J45" s="79"/>
      <c r="K45" s="79"/>
    </row>
    <row r="46" spans="2:11" ht="15.75" customHeight="1" x14ac:dyDescent="0.3">
      <c r="B46" s="29"/>
      <c r="C46" s="29"/>
      <c r="D46" s="29"/>
      <c r="E46" s="29"/>
      <c r="F46" s="29"/>
      <c r="G46" s="29"/>
      <c r="H46" s="30"/>
      <c r="I46" s="29"/>
      <c r="J46" s="29"/>
      <c r="K46" s="29"/>
    </row>
    <row r="47" spans="2:11" ht="15.75" customHeight="1" x14ac:dyDescent="0.3">
      <c r="B47" s="79"/>
      <c r="C47" s="79"/>
      <c r="D47" s="79"/>
      <c r="E47" s="79"/>
      <c r="F47" s="79"/>
      <c r="G47" s="79"/>
      <c r="H47" s="80"/>
      <c r="I47" s="79"/>
      <c r="J47" s="79"/>
      <c r="K47" s="79"/>
    </row>
    <row r="48" spans="2:11" ht="15.75" customHeight="1" x14ac:dyDescent="0.3">
      <c r="B48" s="29"/>
      <c r="C48" s="29"/>
      <c r="D48" s="29"/>
      <c r="E48" s="29"/>
      <c r="F48" s="29"/>
      <c r="G48" s="29"/>
      <c r="H48" s="30"/>
      <c r="I48" s="29"/>
      <c r="J48" s="29"/>
      <c r="K48" s="29"/>
    </row>
    <row r="49" spans="2:11" ht="15.75" customHeight="1" x14ac:dyDescent="0.3">
      <c r="B49" s="79"/>
      <c r="C49" s="79"/>
      <c r="D49" s="79"/>
      <c r="E49" s="79"/>
      <c r="F49" s="79"/>
      <c r="G49" s="79"/>
      <c r="H49" s="80"/>
      <c r="I49" s="79"/>
      <c r="J49" s="79"/>
      <c r="K49" s="79"/>
    </row>
    <row r="50" spans="2:11" ht="15.75" customHeight="1" x14ac:dyDescent="0.3">
      <c r="B50" s="29"/>
      <c r="C50" s="29"/>
      <c r="D50" s="29"/>
      <c r="E50" s="29"/>
      <c r="F50" s="29"/>
      <c r="G50" s="29"/>
      <c r="H50" s="30"/>
      <c r="I50" s="29"/>
      <c r="J50" s="29"/>
      <c r="K50" s="29"/>
    </row>
    <row r="51" spans="2:11" ht="15.75" customHeight="1" x14ac:dyDescent="0.3">
      <c r="B51" s="79"/>
      <c r="C51" s="79"/>
      <c r="D51" s="79"/>
      <c r="E51" s="79"/>
      <c r="F51" s="79"/>
      <c r="G51" s="79"/>
      <c r="H51" s="80"/>
      <c r="I51" s="79"/>
      <c r="J51" s="79"/>
      <c r="K51" s="79"/>
    </row>
    <row r="52" spans="2:11" ht="15.75" customHeight="1" x14ac:dyDescent="0.3">
      <c r="B52" s="29"/>
      <c r="C52" s="29"/>
      <c r="D52" s="29"/>
      <c r="E52" s="29"/>
      <c r="F52" s="29"/>
      <c r="G52" s="29"/>
      <c r="H52" s="30"/>
      <c r="I52" s="29"/>
      <c r="J52" s="29"/>
      <c r="K52" s="29"/>
    </row>
    <row r="53" spans="2:11" ht="15.75" customHeight="1" x14ac:dyDescent="0.3">
      <c r="B53" s="79"/>
      <c r="C53" s="79"/>
      <c r="D53" s="79"/>
      <c r="E53" s="79"/>
      <c r="F53" s="79"/>
      <c r="G53" s="79"/>
      <c r="H53" s="80"/>
      <c r="I53" s="79"/>
      <c r="J53" s="79"/>
      <c r="K53" s="79"/>
    </row>
    <row r="54" spans="2:11" ht="15.75" customHeight="1" x14ac:dyDescent="0.3">
      <c r="B54" s="29"/>
      <c r="C54" s="29"/>
      <c r="D54" s="29"/>
      <c r="E54" s="29"/>
      <c r="F54" s="29"/>
      <c r="G54" s="29"/>
      <c r="H54" s="30"/>
      <c r="I54" s="29"/>
      <c r="J54" s="29"/>
      <c r="K54" s="29"/>
    </row>
    <row r="55" spans="2:11" ht="15.75" customHeight="1" x14ac:dyDescent="0.3">
      <c r="B55" s="79"/>
      <c r="C55" s="79"/>
      <c r="D55" s="79"/>
      <c r="E55" s="79"/>
      <c r="F55" s="79"/>
      <c r="G55" s="79"/>
      <c r="H55" s="80"/>
      <c r="I55" s="79"/>
      <c r="J55" s="79"/>
      <c r="K55" s="79"/>
    </row>
    <row r="56" spans="2:11" ht="15.75" customHeight="1" x14ac:dyDescent="0.3">
      <c r="B56" s="29"/>
      <c r="C56" s="29"/>
      <c r="D56" s="29"/>
      <c r="E56" s="29"/>
      <c r="F56" s="29"/>
      <c r="G56" s="29"/>
      <c r="H56" s="30"/>
      <c r="I56" s="29"/>
      <c r="J56" s="29"/>
      <c r="K56" s="29"/>
    </row>
    <row r="57" spans="2:11" ht="15.75" customHeight="1" x14ac:dyDescent="0.3">
      <c r="B57" s="79"/>
      <c r="C57" s="79"/>
      <c r="D57" s="79"/>
      <c r="E57" s="79"/>
      <c r="F57" s="79"/>
      <c r="G57" s="79"/>
      <c r="H57" s="80"/>
      <c r="I57" s="79"/>
      <c r="J57" s="79"/>
      <c r="K57" s="79"/>
    </row>
    <row r="58" spans="2:11" ht="15.75" customHeight="1" x14ac:dyDescent="0.3">
      <c r="B58" s="29"/>
      <c r="C58" s="29"/>
      <c r="D58" s="29"/>
      <c r="E58" s="29"/>
      <c r="F58" s="29"/>
      <c r="G58" s="29"/>
      <c r="H58" s="30"/>
      <c r="I58" s="29"/>
      <c r="J58" s="29"/>
      <c r="K58" s="29"/>
    </row>
    <row r="59" spans="2:11" ht="15.75" customHeight="1" x14ac:dyDescent="0.3">
      <c r="B59" s="79"/>
      <c r="C59" s="79"/>
      <c r="D59" s="79"/>
      <c r="E59" s="79"/>
      <c r="F59" s="79"/>
      <c r="G59" s="79"/>
      <c r="H59" s="80"/>
      <c r="I59" s="79"/>
      <c r="J59" s="79"/>
      <c r="K59" s="79"/>
    </row>
    <row r="60" spans="2:11" ht="15.75" customHeight="1" x14ac:dyDescent="0.3">
      <c r="B60" s="29"/>
      <c r="C60" s="29"/>
      <c r="D60" s="29"/>
      <c r="E60" s="29"/>
      <c r="F60" s="29"/>
      <c r="G60" s="29"/>
      <c r="H60" s="30"/>
      <c r="I60" s="29"/>
      <c r="J60" s="29"/>
      <c r="K60" s="29"/>
    </row>
    <row r="61" spans="2:11" ht="15.75" customHeight="1" x14ac:dyDescent="0.3">
      <c r="B61" s="79"/>
      <c r="C61" s="79"/>
      <c r="D61" s="79"/>
      <c r="E61" s="79"/>
      <c r="F61" s="79"/>
      <c r="G61" s="79"/>
      <c r="H61" s="80"/>
      <c r="I61" s="79"/>
      <c r="J61" s="79"/>
      <c r="K61" s="79"/>
    </row>
    <row r="62" spans="2:11" ht="15.75" customHeight="1" x14ac:dyDescent="0.3">
      <c r="B62" s="29"/>
      <c r="C62" s="29"/>
      <c r="D62" s="29"/>
      <c r="E62" s="29"/>
      <c r="F62" s="29"/>
      <c r="G62" s="29"/>
      <c r="H62" s="30"/>
      <c r="I62" s="29"/>
      <c r="J62" s="29"/>
      <c r="K62" s="29"/>
    </row>
    <row r="63" spans="2:11" ht="15.75" customHeight="1" x14ac:dyDescent="0.3">
      <c r="B63" s="79"/>
      <c r="C63" s="79"/>
      <c r="D63" s="79"/>
      <c r="E63" s="79"/>
      <c r="F63" s="79"/>
      <c r="G63" s="79"/>
      <c r="H63" s="80"/>
      <c r="I63" s="79"/>
      <c r="J63" s="79"/>
      <c r="K63" s="79"/>
    </row>
    <row r="64" spans="2:11" ht="15.75" customHeight="1" x14ac:dyDescent="0.3">
      <c r="B64" s="29"/>
      <c r="C64" s="29"/>
      <c r="D64" s="29"/>
      <c r="E64" s="29"/>
      <c r="F64" s="29"/>
      <c r="G64" s="29"/>
      <c r="H64" s="30"/>
      <c r="I64" s="29"/>
      <c r="J64" s="29"/>
      <c r="K64" s="29"/>
    </row>
    <row r="65" spans="2:11" ht="15.75" customHeight="1" x14ac:dyDescent="0.3">
      <c r="B65" s="79"/>
      <c r="C65" s="79"/>
      <c r="D65" s="79"/>
      <c r="E65" s="79"/>
      <c r="F65" s="79"/>
      <c r="G65" s="79"/>
      <c r="H65" s="80"/>
      <c r="I65" s="79"/>
      <c r="J65" s="79"/>
      <c r="K65" s="79"/>
    </row>
    <row r="66" spans="2:11" ht="15.75" customHeight="1" x14ac:dyDescent="0.3">
      <c r="B66" s="29"/>
      <c r="C66" s="29"/>
      <c r="D66" s="29"/>
      <c r="E66" s="29"/>
      <c r="F66" s="29"/>
      <c r="G66" s="29"/>
      <c r="H66" s="30"/>
      <c r="I66" s="29"/>
      <c r="J66" s="29"/>
      <c r="K66" s="29"/>
    </row>
    <row r="67" spans="2:11" ht="15.75" customHeight="1" x14ac:dyDescent="0.3">
      <c r="B67" s="79"/>
      <c r="C67" s="79"/>
      <c r="D67" s="79"/>
      <c r="E67" s="79"/>
      <c r="F67" s="79"/>
      <c r="G67" s="79"/>
      <c r="H67" s="80"/>
      <c r="I67" s="79"/>
      <c r="J67" s="79"/>
      <c r="K67" s="79"/>
    </row>
    <row r="68" spans="2:11" ht="15.75" customHeight="1" x14ac:dyDescent="0.3">
      <c r="B68" s="29"/>
      <c r="C68" s="29"/>
      <c r="D68" s="29"/>
      <c r="E68" s="29"/>
      <c r="F68" s="29"/>
      <c r="G68" s="29"/>
      <c r="H68" s="30"/>
      <c r="I68" s="29"/>
      <c r="J68" s="29"/>
      <c r="K68" s="29"/>
    </row>
    <row r="69" spans="2:11" ht="15.75" customHeight="1" x14ac:dyDescent="0.3">
      <c r="B69" s="79"/>
      <c r="C69" s="79"/>
      <c r="D69" s="79"/>
      <c r="E69" s="79"/>
      <c r="F69" s="79"/>
      <c r="G69" s="79"/>
      <c r="H69" s="80"/>
      <c r="I69" s="79"/>
      <c r="J69" s="79"/>
      <c r="K69" s="79"/>
    </row>
    <row r="70" spans="2:11" ht="15.75" customHeight="1" x14ac:dyDescent="0.3">
      <c r="B70" s="29"/>
      <c r="C70" s="29"/>
      <c r="D70" s="29"/>
      <c r="E70" s="29"/>
      <c r="F70" s="29"/>
      <c r="G70" s="29"/>
      <c r="H70" s="30"/>
      <c r="I70" s="29"/>
      <c r="J70" s="29"/>
      <c r="K70" s="29"/>
    </row>
    <row r="71" spans="2:11" ht="15.75" customHeight="1" x14ac:dyDescent="0.3">
      <c r="B71" s="79"/>
      <c r="C71" s="79"/>
      <c r="D71" s="79"/>
      <c r="E71" s="79"/>
      <c r="F71" s="79"/>
      <c r="G71" s="79"/>
      <c r="H71" s="80"/>
      <c r="I71" s="79"/>
      <c r="J71" s="79"/>
      <c r="K71" s="79"/>
    </row>
    <row r="72" spans="2:11" ht="15.75" customHeight="1" x14ac:dyDescent="0.3">
      <c r="B72" s="29"/>
      <c r="C72" s="29"/>
      <c r="D72" s="29"/>
      <c r="E72" s="29"/>
      <c r="F72" s="29"/>
      <c r="G72" s="29"/>
      <c r="H72" s="30"/>
      <c r="I72" s="29"/>
      <c r="J72" s="29"/>
      <c r="K72" s="29"/>
    </row>
    <row r="73" spans="2:11" ht="15.75" customHeight="1" x14ac:dyDescent="0.3">
      <c r="B73" s="79"/>
      <c r="C73" s="79"/>
      <c r="D73" s="79"/>
      <c r="E73" s="79"/>
      <c r="F73" s="79"/>
      <c r="G73" s="79"/>
      <c r="H73" s="80"/>
      <c r="I73" s="79"/>
      <c r="J73" s="79"/>
      <c r="K73" s="79"/>
    </row>
    <row r="74" spans="2:11" ht="15.75" customHeight="1" x14ac:dyDescent="0.3">
      <c r="B74" s="29"/>
      <c r="C74" s="29"/>
      <c r="D74" s="29"/>
      <c r="E74" s="29"/>
      <c r="F74" s="29"/>
      <c r="G74" s="29"/>
      <c r="H74" s="30"/>
      <c r="I74" s="29"/>
      <c r="J74" s="29"/>
      <c r="K74" s="29"/>
    </row>
    <row r="75" spans="2:11" ht="15.75" customHeight="1" x14ac:dyDescent="0.3">
      <c r="B75" s="79"/>
      <c r="C75" s="79"/>
      <c r="D75" s="79"/>
      <c r="E75" s="79"/>
      <c r="F75" s="79"/>
      <c r="G75" s="79"/>
      <c r="H75" s="80"/>
      <c r="I75" s="79"/>
      <c r="J75" s="79"/>
      <c r="K75" s="79"/>
    </row>
    <row r="76" spans="2:11" ht="15.75" customHeight="1" x14ac:dyDescent="0.3">
      <c r="B76" s="29"/>
      <c r="C76" s="29"/>
      <c r="D76" s="29"/>
      <c r="E76" s="29"/>
      <c r="F76" s="29"/>
      <c r="G76" s="29"/>
      <c r="H76" s="30"/>
      <c r="I76" s="29"/>
      <c r="J76" s="29"/>
      <c r="K76" s="29"/>
    </row>
    <row r="77" spans="2:11" ht="15.75" customHeight="1" x14ac:dyDescent="0.3">
      <c r="B77" s="79"/>
      <c r="C77" s="79"/>
      <c r="D77" s="79"/>
      <c r="E77" s="79"/>
      <c r="F77" s="79"/>
      <c r="G77" s="79"/>
      <c r="H77" s="80"/>
      <c r="I77" s="79"/>
      <c r="J77" s="79"/>
      <c r="K77" s="79"/>
    </row>
    <row r="78" spans="2:11" ht="15.75" customHeight="1" x14ac:dyDescent="0.3">
      <c r="B78" s="29"/>
      <c r="C78" s="29"/>
      <c r="D78" s="29"/>
      <c r="E78" s="29"/>
      <c r="F78" s="29"/>
      <c r="G78" s="29"/>
      <c r="H78" s="30"/>
      <c r="I78" s="29"/>
      <c r="J78" s="29"/>
      <c r="K78" s="29"/>
    </row>
    <row r="79" spans="2:11" ht="15.75" customHeight="1" x14ac:dyDescent="0.3">
      <c r="B79" s="79"/>
      <c r="C79" s="79"/>
      <c r="D79" s="79"/>
      <c r="E79" s="79"/>
      <c r="F79" s="79"/>
      <c r="G79" s="79"/>
      <c r="H79" s="80"/>
      <c r="I79" s="79"/>
      <c r="J79" s="79"/>
      <c r="K79" s="79"/>
    </row>
    <row r="80" spans="2:11" ht="15.75" customHeight="1" x14ac:dyDescent="0.3">
      <c r="B80" s="29"/>
      <c r="C80" s="29"/>
      <c r="D80" s="29"/>
      <c r="E80" s="29"/>
      <c r="F80" s="29"/>
      <c r="G80" s="29"/>
      <c r="H80" s="30"/>
      <c r="I80" s="29"/>
      <c r="J80" s="29"/>
      <c r="K80" s="29"/>
    </row>
    <row r="81" spans="2:11" ht="15.75" customHeight="1" x14ac:dyDescent="0.3">
      <c r="B81" s="79"/>
      <c r="C81" s="79"/>
      <c r="D81" s="79"/>
      <c r="E81" s="79"/>
      <c r="F81" s="79"/>
      <c r="G81" s="79"/>
      <c r="H81" s="80"/>
      <c r="I81" s="79"/>
      <c r="J81" s="79"/>
      <c r="K81" s="79"/>
    </row>
    <row r="82" spans="2:11" ht="15.75" customHeight="1" x14ac:dyDescent="0.3">
      <c r="B82" s="29"/>
      <c r="C82" s="29"/>
      <c r="D82" s="29"/>
      <c r="E82" s="29"/>
      <c r="F82" s="29"/>
      <c r="G82" s="29"/>
      <c r="H82" s="30"/>
      <c r="I82" s="29"/>
      <c r="J82" s="29"/>
      <c r="K82" s="29"/>
    </row>
    <row r="83" spans="2:11" ht="15.75" customHeight="1" x14ac:dyDescent="0.3">
      <c r="B83" s="79"/>
      <c r="C83" s="79"/>
      <c r="D83" s="79"/>
      <c r="E83" s="79"/>
      <c r="F83" s="79"/>
      <c r="G83" s="79"/>
      <c r="H83" s="80"/>
      <c r="I83" s="79"/>
      <c r="J83" s="79"/>
      <c r="K83" s="79"/>
    </row>
    <row r="84" spans="2:11" ht="15.75" customHeight="1" x14ac:dyDescent="0.3">
      <c r="B84" s="29"/>
      <c r="C84" s="29"/>
      <c r="D84" s="29"/>
      <c r="E84" s="29"/>
      <c r="F84" s="29"/>
      <c r="G84" s="29"/>
      <c r="H84" s="30"/>
      <c r="I84" s="29"/>
      <c r="J84" s="29"/>
      <c r="K84" s="29"/>
    </row>
    <row r="85" spans="2:11" ht="15.75" customHeight="1" x14ac:dyDescent="0.3">
      <c r="B85" s="79"/>
      <c r="C85" s="79"/>
      <c r="D85" s="79"/>
      <c r="E85" s="79"/>
      <c r="F85" s="79"/>
      <c r="G85" s="79"/>
      <c r="H85" s="80"/>
      <c r="I85" s="79"/>
      <c r="J85" s="79"/>
      <c r="K85" s="79"/>
    </row>
    <row r="86" spans="2:11" ht="15.75" customHeight="1" x14ac:dyDescent="0.3">
      <c r="B86" s="29"/>
      <c r="C86" s="29"/>
      <c r="D86" s="29"/>
      <c r="E86" s="29"/>
      <c r="F86" s="29"/>
      <c r="G86" s="29"/>
      <c r="H86" s="30"/>
      <c r="I86" s="29"/>
      <c r="J86" s="29"/>
      <c r="K86" s="29"/>
    </row>
    <row r="87" spans="2:11" ht="15.75" customHeight="1" x14ac:dyDescent="0.3">
      <c r="B87" s="79"/>
      <c r="C87" s="79"/>
      <c r="D87" s="79"/>
      <c r="E87" s="79"/>
      <c r="F87" s="79"/>
      <c r="G87" s="79"/>
      <c r="H87" s="80"/>
      <c r="I87" s="79"/>
      <c r="J87" s="79"/>
      <c r="K87" s="79"/>
    </row>
    <row r="88" spans="2:11" ht="15.75" customHeight="1" x14ac:dyDescent="0.3">
      <c r="B88" s="29"/>
      <c r="C88" s="29"/>
      <c r="D88" s="29"/>
      <c r="E88" s="29"/>
      <c r="F88" s="29"/>
      <c r="G88" s="29"/>
      <c r="H88" s="30"/>
      <c r="I88" s="29"/>
      <c r="J88" s="29"/>
      <c r="K88" s="29"/>
    </row>
    <row r="89" spans="2:11" ht="15.75" customHeight="1" x14ac:dyDescent="0.3">
      <c r="B89" s="79"/>
      <c r="C89" s="79"/>
      <c r="D89" s="79"/>
      <c r="E89" s="79"/>
      <c r="F89" s="79"/>
      <c r="G89" s="79"/>
      <c r="H89" s="80"/>
      <c r="I89" s="79"/>
      <c r="J89" s="79"/>
      <c r="K89" s="79"/>
    </row>
    <row r="90" spans="2:11" ht="15.75" customHeight="1" x14ac:dyDescent="0.3">
      <c r="B90" s="29"/>
      <c r="C90" s="29"/>
      <c r="D90" s="29"/>
      <c r="E90" s="29"/>
      <c r="F90" s="29"/>
      <c r="G90" s="29"/>
      <c r="H90" s="30"/>
      <c r="I90" s="29"/>
      <c r="J90" s="29"/>
      <c r="K90" s="29"/>
    </row>
    <row r="91" spans="2:11" ht="15.75" customHeight="1" x14ac:dyDescent="0.3">
      <c r="B91" s="79"/>
      <c r="C91" s="79"/>
      <c r="D91" s="79"/>
      <c r="E91" s="79"/>
      <c r="F91" s="79"/>
      <c r="G91" s="79"/>
      <c r="H91" s="80"/>
      <c r="I91" s="79"/>
      <c r="J91" s="79"/>
      <c r="K91" s="79"/>
    </row>
    <row r="92" spans="2:11" ht="15.75" customHeight="1" x14ac:dyDescent="0.3">
      <c r="B92" s="29"/>
      <c r="C92" s="29"/>
      <c r="D92" s="29"/>
      <c r="E92" s="29"/>
      <c r="F92" s="29"/>
      <c r="G92" s="29"/>
      <c r="H92" s="30"/>
      <c r="I92" s="29"/>
      <c r="J92" s="29"/>
      <c r="K92" s="29"/>
    </row>
    <row r="93" spans="2:11" ht="15.75" customHeight="1" x14ac:dyDescent="0.3">
      <c r="B93" s="79"/>
      <c r="C93" s="79"/>
      <c r="D93" s="79"/>
      <c r="E93" s="79"/>
      <c r="F93" s="79"/>
      <c r="G93" s="79"/>
      <c r="H93" s="80"/>
      <c r="I93" s="79"/>
      <c r="J93" s="79"/>
      <c r="K93" s="79"/>
    </row>
    <row r="94" spans="2:11" ht="15.75" customHeight="1" x14ac:dyDescent="0.3">
      <c r="B94" s="29"/>
      <c r="C94" s="29"/>
      <c r="D94" s="29"/>
      <c r="E94" s="29"/>
      <c r="F94" s="29"/>
      <c r="G94" s="29"/>
      <c r="H94" s="30"/>
      <c r="I94" s="29"/>
      <c r="J94" s="29"/>
      <c r="K94" s="29"/>
    </row>
    <row r="95" spans="2:11" ht="15.75" customHeight="1" x14ac:dyDescent="0.3">
      <c r="B95" s="79"/>
      <c r="C95" s="79"/>
      <c r="D95" s="79"/>
      <c r="E95" s="79"/>
      <c r="F95" s="79"/>
      <c r="G95" s="79"/>
      <c r="H95" s="80"/>
      <c r="I95" s="79"/>
      <c r="J95" s="79"/>
      <c r="K95" s="79"/>
    </row>
    <row r="96" spans="2:11" ht="15.75" customHeight="1" x14ac:dyDescent="0.3">
      <c r="B96" s="29"/>
      <c r="C96" s="29"/>
      <c r="D96" s="29"/>
      <c r="E96" s="29"/>
      <c r="F96" s="29"/>
      <c r="G96" s="29"/>
      <c r="H96" s="30"/>
      <c r="I96" s="29"/>
      <c r="J96" s="29"/>
      <c r="K96" s="29"/>
    </row>
    <row r="97" spans="2:11" ht="15.75" customHeight="1" x14ac:dyDescent="0.3">
      <c r="B97" s="79"/>
      <c r="C97" s="79"/>
      <c r="D97" s="79"/>
      <c r="E97" s="79"/>
      <c r="F97" s="79"/>
      <c r="G97" s="79"/>
      <c r="H97" s="80"/>
      <c r="I97" s="79"/>
      <c r="J97" s="79"/>
      <c r="K97" s="79"/>
    </row>
    <row r="98" spans="2:11" ht="15.75" customHeight="1" x14ac:dyDescent="0.3">
      <c r="B98" s="29"/>
      <c r="C98" s="29"/>
      <c r="D98" s="29"/>
      <c r="E98" s="29"/>
      <c r="F98" s="29"/>
      <c r="G98" s="29"/>
      <c r="H98" s="30"/>
      <c r="I98" s="29"/>
      <c r="J98" s="29"/>
      <c r="K98" s="29"/>
    </row>
    <row r="99" spans="2:11" ht="15.75" customHeight="1" x14ac:dyDescent="0.3">
      <c r="B99" s="79"/>
      <c r="C99" s="79"/>
      <c r="D99" s="79"/>
      <c r="E99" s="79"/>
      <c r="F99" s="79"/>
      <c r="G99" s="79"/>
      <c r="H99" s="80"/>
      <c r="I99" s="79"/>
      <c r="J99" s="79"/>
      <c r="K99" s="79"/>
    </row>
    <row r="100" spans="2:11" ht="15.75" customHeight="1" x14ac:dyDescent="0.3">
      <c r="B100" s="29"/>
      <c r="C100" s="29"/>
      <c r="D100" s="29"/>
      <c r="E100" s="29"/>
      <c r="F100" s="29"/>
      <c r="G100" s="29"/>
      <c r="H100" s="30"/>
      <c r="I100" s="29"/>
      <c r="J100" s="29"/>
      <c r="K100" s="29"/>
    </row>
    <row r="101" spans="2:11" ht="15.75" customHeight="1" x14ac:dyDescent="0.3">
      <c r="B101" s="79"/>
      <c r="C101" s="79"/>
      <c r="D101" s="79"/>
      <c r="E101" s="79"/>
      <c r="F101" s="79"/>
      <c r="G101" s="79"/>
      <c r="H101" s="80"/>
      <c r="I101" s="79"/>
      <c r="J101" s="79"/>
      <c r="K101" s="79"/>
    </row>
    <row r="102" spans="2:11" ht="15.75" customHeight="1" x14ac:dyDescent="0.3">
      <c r="B102" s="29"/>
      <c r="C102" s="29"/>
      <c r="D102" s="29"/>
      <c r="E102" s="29"/>
      <c r="F102" s="29"/>
      <c r="G102" s="29"/>
      <c r="H102" s="30"/>
      <c r="I102" s="29"/>
      <c r="J102" s="29"/>
      <c r="K102" s="29"/>
    </row>
    <row r="103" spans="2:11" ht="15.75" customHeight="1" x14ac:dyDescent="0.3">
      <c r="B103" s="79"/>
      <c r="C103" s="79"/>
      <c r="D103" s="79"/>
      <c r="E103" s="79"/>
      <c r="F103" s="79"/>
      <c r="G103" s="79"/>
      <c r="H103" s="80"/>
      <c r="I103" s="79"/>
      <c r="J103" s="79"/>
      <c r="K103" s="79"/>
    </row>
    <row r="104" spans="2:11" ht="15.75" customHeight="1" x14ac:dyDescent="0.3">
      <c r="B104" s="29"/>
      <c r="C104" s="29"/>
      <c r="D104" s="29"/>
      <c r="E104" s="29"/>
      <c r="F104" s="29"/>
      <c r="G104" s="29"/>
      <c r="H104" s="30"/>
      <c r="I104" s="29"/>
      <c r="J104" s="29"/>
      <c r="K104" s="29"/>
    </row>
    <row r="105" spans="2:11" ht="15.75" customHeight="1" x14ac:dyDescent="0.3">
      <c r="B105" s="79"/>
      <c r="C105" s="79"/>
      <c r="D105" s="79"/>
      <c r="E105" s="79"/>
      <c r="F105" s="79"/>
      <c r="G105" s="79"/>
      <c r="H105" s="80"/>
      <c r="I105" s="79"/>
      <c r="J105" s="79"/>
      <c r="K105" s="79"/>
    </row>
    <row r="106" spans="2:11" ht="15.75" customHeight="1" x14ac:dyDescent="0.3">
      <c r="B106" s="29"/>
      <c r="C106" s="29"/>
      <c r="D106" s="29"/>
      <c r="E106" s="29"/>
      <c r="F106" s="29"/>
      <c r="G106" s="29"/>
      <c r="H106" s="30"/>
      <c r="I106" s="29"/>
      <c r="J106" s="29"/>
      <c r="K106" s="29"/>
    </row>
    <row r="107" spans="2:11" ht="15.75" customHeight="1" x14ac:dyDescent="0.3">
      <c r="B107" s="79"/>
      <c r="C107" s="79"/>
      <c r="D107" s="79"/>
      <c r="E107" s="79"/>
      <c r="F107" s="79"/>
      <c r="G107" s="79"/>
      <c r="H107" s="80"/>
      <c r="I107" s="79"/>
      <c r="J107" s="79"/>
      <c r="K107" s="79"/>
    </row>
    <row r="108" spans="2:11" ht="15.75" customHeight="1" x14ac:dyDescent="0.3">
      <c r="B108" s="29"/>
      <c r="C108" s="29"/>
      <c r="D108" s="29"/>
      <c r="E108" s="29"/>
      <c r="F108" s="29"/>
      <c r="G108" s="29"/>
      <c r="H108" s="30"/>
      <c r="I108" s="29"/>
      <c r="J108" s="29"/>
      <c r="K108" s="29"/>
    </row>
    <row r="109" spans="2:11" ht="15.75" customHeight="1" x14ac:dyDescent="0.3">
      <c r="B109" s="79"/>
      <c r="C109" s="79"/>
      <c r="D109" s="79"/>
      <c r="E109" s="79"/>
      <c r="F109" s="79"/>
      <c r="G109" s="79"/>
      <c r="H109" s="80"/>
      <c r="I109" s="79"/>
      <c r="J109" s="79"/>
      <c r="K109" s="79"/>
    </row>
    <row r="110" spans="2:11" ht="15.75" customHeight="1" x14ac:dyDescent="0.3">
      <c r="B110" s="29"/>
      <c r="C110" s="29"/>
      <c r="D110" s="29"/>
      <c r="E110" s="29"/>
      <c r="F110" s="29"/>
      <c r="G110" s="29"/>
      <c r="H110" s="30"/>
      <c r="I110" s="29"/>
      <c r="J110" s="29"/>
      <c r="K110" s="29"/>
    </row>
    <row r="111" spans="2:11" ht="15.75" customHeight="1" x14ac:dyDescent="0.3">
      <c r="B111" s="79"/>
      <c r="C111" s="79"/>
      <c r="D111" s="79"/>
      <c r="E111" s="79"/>
      <c r="F111" s="79"/>
      <c r="G111" s="79"/>
      <c r="H111" s="80"/>
      <c r="I111" s="79"/>
      <c r="J111" s="79"/>
      <c r="K111" s="79"/>
    </row>
    <row r="112" spans="2:11" ht="15.75" customHeight="1" x14ac:dyDescent="0.3">
      <c r="B112" s="29"/>
      <c r="C112" s="29"/>
      <c r="D112" s="29"/>
      <c r="E112" s="29"/>
      <c r="F112" s="29"/>
      <c r="G112" s="29"/>
      <c r="H112" s="30"/>
      <c r="I112" s="29"/>
      <c r="J112" s="29"/>
      <c r="K112" s="29"/>
    </row>
    <row r="113" spans="2:11" ht="15.75" customHeight="1" x14ac:dyDescent="0.3">
      <c r="B113" s="79"/>
      <c r="C113" s="79"/>
      <c r="D113" s="79"/>
      <c r="E113" s="79"/>
      <c r="F113" s="79"/>
      <c r="G113" s="79"/>
      <c r="H113" s="80"/>
      <c r="I113" s="79"/>
      <c r="J113" s="79"/>
      <c r="K113" s="79"/>
    </row>
    <row r="114" spans="2:11" ht="15.75" customHeight="1" x14ac:dyDescent="0.3">
      <c r="B114" s="29"/>
      <c r="C114" s="29"/>
      <c r="D114" s="29"/>
      <c r="E114" s="29"/>
      <c r="F114" s="29"/>
      <c r="G114" s="29"/>
      <c r="H114" s="30"/>
      <c r="I114" s="29"/>
      <c r="J114" s="29"/>
      <c r="K114" s="29"/>
    </row>
    <row r="115" spans="2:11" ht="15.75" customHeight="1" x14ac:dyDescent="0.3">
      <c r="B115" s="79"/>
      <c r="C115" s="79"/>
      <c r="D115" s="79"/>
      <c r="E115" s="79"/>
      <c r="F115" s="79"/>
      <c r="G115" s="79"/>
      <c r="H115" s="80"/>
      <c r="I115" s="79"/>
      <c r="J115" s="79"/>
      <c r="K115" s="79"/>
    </row>
    <row r="116" spans="2:11" ht="15.75" customHeight="1" x14ac:dyDescent="0.3">
      <c r="B116" s="29"/>
      <c r="C116" s="29"/>
      <c r="D116" s="29"/>
      <c r="E116" s="29"/>
      <c r="F116" s="29"/>
      <c r="G116" s="29"/>
      <c r="H116" s="30"/>
      <c r="I116" s="29"/>
      <c r="J116" s="29"/>
      <c r="K116" s="29"/>
    </row>
    <row r="117" spans="2:11" ht="15.75" customHeight="1" x14ac:dyDescent="0.3">
      <c r="B117" s="79"/>
      <c r="C117" s="79"/>
      <c r="D117" s="79"/>
      <c r="E117" s="79"/>
      <c r="F117" s="79"/>
      <c r="G117" s="79"/>
      <c r="H117" s="80"/>
      <c r="I117" s="79"/>
      <c r="J117" s="79"/>
      <c r="K117" s="79"/>
    </row>
    <row r="118" spans="2:11" ht="15.75" customHeight="1" x14ac:dyDescent="0.3">
      <c r="B118" s="29"/>
      <c r="C118" s="29"/>
      <c r="D118" s="29"/>
      <c r="E118" s="29"/>
      <c r="F118" s="29"/>
      <c r="G118" s="29"/>
      <c r="H118" s="30"/>
      <c r="I118" s="29"/>
      <c r="J118" s="29"/>
      <c r="K118" s="29"/>
    </row>
    <row r="119" spans="2:11" ht="15.75" customHeight="1" x14ac:dyDescent="0.3">
      <c r="B119" s="79"/>
      <c r="C119" s="79"/>
      <c r="D119" s="79"/>
      <c r="E119" s="79"/>
      <c r="F119" s="79"/>
      <c r="G119" s="79"/>
      <c r="H119" s="80"/>
      <c r="I119" s="79"/>
      <c r="J119" s="79"/>
      <c r="K119" s="79"/>
    </row>
    <row r="120" spans="2:11" ht="15.75" customHeight="1" x14ac:dyDescent="0.3">
      <c r="B120" s="29"/>
      <c r="C120" s="29"/>
      <c r="D120" s="29"/>
      <c r="E120" s="29"/>
      <c r="F120" s="29"/>
      <c r="G120" s="29"/>
      <c r="H120" s="30"/>
      <c r="I120" s="29"/>
      <c r="J120" s="29"/>
      <c r="K120" s="29"/>
    </row>
    <row r="121" spans="2:11" ht="15.75" customHeight="1" x14ac:dyDescent="0.3">
      <c r="B121" s="79"/>
      <c r="C121" s="79"/>
      <c r="D121" s="79"/>
      <c r="E121" s="79"/>
      <c r="F121" s="79"/>
      <c r="G121" s="79"/>
      <c r="H121" s="80"/>
      <c r="I121" s="79"/>
      <c r="J121" s="79"/>
      <c r="K121" s="79"/>
    </row>
    <row r="122" spans="2:11" ht="15.75" customHeight="1" x14ac:dyDescent="0.3">
      <c r="B122" s="29"/>
      <c r="C122" s="29"/>
      <c r="D122" s="29"/>
      <c r="E122" s="29"/>
      <c r="F122" s="29"/>
      <c r="G122" s="29"/>
      <c r="H122" s="30"/>
      <c r="I122" s="29"/>
      <c r="J122" s="29"/>
      <c r="K122" s="29"/>
    </row>
    <row r="123" spans="2:11" ht="15.75" customHeight="1" x14ac:dyDescent="0.3">
      <c r="B123" s="79"/>
      <c r="C123" s="79"/>
      <c r="D123" s="79"/>
      <c r="E123" s="79"/>
      <c r="F123" s="79"/>
      <c r="G123" s="79"/>
      <c r="H123" s="80"/>
      <c r="I123" s="79"/>
      <c r="J123" s="79"/>
      <c r="K123" s="79"/>
    </row>
    <row r="124" spans="2:11" ht="15.75" customHeight="1" x14ac:dyDescent="0.3">
      <c r="B124" s="29"/>
      <c r="C124" s="29"/>
      <c r="D124" s="29"/>
      <c r="E124" s="29"/>
      <c r="F124" s="29"/>
      <c r="G124" s="29"/>
      <c r="H124" s="30"/>
      <c r="I124" s="29"/>
      <c r="J124" s="29"/>
      <c r="K124" s="29"/>
    </row>
    <row r="125" spans="2:11" ht="15.75" customHeight="1" x14ac:dyDescent="0.3">
      <c r="B125" s="79"/>
      <c r="C125" s="79"/>
      <c r="D125" s="79"/>
      <c r="E125" s="79"/>
      <c r="F125" s="79"/>
      <c r="G125" s="79"/>
      <c r="H125" s="80"/>
      <c r="I125" s="79"/>
      <c r="J125" s="79"/>
      <c r="K125" s="79"/>
    </row>
    <row r="126" spans="2:11" ht="15.75" customHeight="1" x14ac:dyDescent="0.3">
      <c r="B126" s="29"/>
      <c r="C126" s="29"/>
      <c r="D126" s="29"/>
      <c r="E126" s="29"/>
      <c r="F126" s="29"/>
      <c r="G126" s="29"/>
      <c r="H126" s="30"/>
      <c r="I126" s="29"/>
      <c r="J126" s="29"/>
      <c r="K126" s="29"/>
    </row>
    <row r="127" spans="2:11" ht="15.75" customHeight="1" x14ac:dyDescent="0.3">
      <c r="B127" s="79"/>
      <c r="C127" s="79"/>
      <c r="D127" s="79"/>
      <c r="E127" s="79"/>
      <c r="F127" s="79"/>
      <c r="G127" s="79"/>
      <c r="H127" s="80"/>
      <c r="I127" s="79"/>
      <c r="J127" s="79"/>
      <c r="K127" s="79"/>
    </row>
    <row r="128" spans="2:11" ht="15.75" customHeight="1" x14ac:dyDescent="0.3">
      <c r="B128" s="29"/>
      <c r="C128" s="29"/>
      <c r="D128" s="29"/>
      <c r="E128" s="29"/>
      <c r="F128" s="29"/>
      <c r="G128" s="29"/>
      <c r="H128" s="30"/>
      <c r="I128" s="29"/>
      <c r="J128" s="29"/>
      <c r="K128" s="29"/>
    </row>
    <row r="129" spans="2:11" ht="15.75" customHeight="1" x14ac:dyDescent="0.3">
      <c r="B129" s="79"/>
      <c r="C129" s="79"/>
      <c r="D129" s="79"/>
      <c r="E129" s="79"/>
      <c r="F129" s="79"/>
      <c r="G129" s="79"/>
      <c r="H129" s="80"/>
      <c r="I129" s="79"/>
      <c r="J129" s="79"/>
      <c r="K129" s="79"/>
    </row>
    <row r="130" spans="2:11" ht="15.75" customHeight="1" x14ac:dyDescent="0.3">
      <c r="B130" s="29"/>
      <c r="C130" s="29"/>
      <c r="D130" s="29"/>
      <c r="E130" s="29"/>
      <c r="F130" s="29"/>
      <c r="G130" s="29"/>
      <c r="H130" s="30"/>
      <c r="I130" s="29"/>
      <c r="J130" s="29"/>
      <c r="K130" s="29"/>
    </row>
    <row r="131" spans="2:11" ht="15.75" customHeight="1" x14ac:dyDescent="0.3">
      <c r="B131" s="79"/>
      <c r="C131" s="79"/>
      <c r="D131" s="79"/>
      <c r="E131" s="79"/>
      <c r="F131" s="79"/>
      <c r="G131" s="79"/>
      <c r="H131" s="80"/>
      <c r="I131" s="79"/>
      <c r="J131" s="79"/>
      <c r="K131" s="79"/>
    </row>
    <row r="132" spans="2:11" ht="15.75" customHeight="1" x14ac:dyDescent="0.3">
      <c r="B132" s="29"/>
      <c r="C132" s="29"/>
      <c r="D132" s="29"/>
      <c r="E132" s="29"/>
      <c r="F132" s="29"/>
      <c r="G132" s="29"/>
      <c r="H132" s="30"/>
      <c r="I132" s="29"/>
      <c r="J132" s="29"/>
      <c r="K132" s="29"/>
    </row>
    <row r="133" spans="2:11" ht="15.75" customHeight="1" x14ac:dyDescent="0.3">
      <c r="B133" s="79"/>
      <c r="C133" s="79"/>
      <c r="D133" s="79"/>
      <c r="E133" s="79"/>
      <c r="F133" s="79"/>
      <c r="G133" s="79"/>
      <c r="H133" s="80"/>
      <c r="I133" s="79"/>
      <c r="J133" s="79"/>
      <c r="K133" s="79"/>
    </row>
    <row r="134" spans="2:11" ht="15.75" customHeight="1" x14ac:dyDescent="0.3">
      <c r="B134" s="29"/>
      <c r="C134" s="29"/>
      <c r="D134" s="29"/>
      <c r="E134" s="29"/>
      <c r="F134" s="29"/>
      <c r="G134" s="29"/>
      <c r="H134" s="30"/>
      <c r="I134" s="29"/>
      <c r="J134" s="29"/>
      <c r="K134" s="29"/>
    </row>
    <row r="135" spans="2:11" ht="15.75" customHeight="1" x14ac:dyDescent="0.3">
      <c r="B135" s="79"/>
      <c r="C135" s="79"/>
      <c r="D135" s="79"/>
      <c r="E135" s="79"/>
      <c r="F135" s="79"/>
      <c r="G135" s="79"/>
      <c r="H135" s="80"/>
      <c r="I135" s="79"/>
      <c r="J135" s="79"/>
      <c r="K135" s="79"/>
    </row>
    <row r="136" spans="2:11" ht="15.75" customHeight="1" x14ac:dyDescent="0.3">
      <c r="B136" s="29"/>
      <c r="C136" s="29"/>
      <c r="D136" s="29"/>
      <c r="E136" s="29"/>
      <c r="F136" s="29"/>
      <c r="G136" s="29"/>
      <c r="H136" s="30"/>
      <c r="I136" s="29"/>
      <c r="J136" s="29"/>
      <c r="K136" s="29"/>
    </row>
    <row r="137" spans="2:11" ht="15.75" customHeight="1" x14ac:dyDescent="0.3">
      <c r="B137" s="79"/>
      <c r="C137" s="79"/>
      <c r="D137" s="79"/>
      <c r="E137" s="79"/>
      <c r="F137" s="79"/>
      <c r="G137" s="79"/>
      <c r="H137" s="80"/>
      <c r="I137" s="79"/>
      <c r="J137" s="79"/>
      <c r="K137" s="79"/>
    </row>
    <row r="138" spans="2:11" ht="15.75" customHeight="1" x14ac:dyDescent="0.3">
      <c r="B138" s="29"/>
      <c r="C138" s="29"/>
      <c r="D138" s="29"/>
      <c r="E138" s="29"/>
      <c r="F138" s="29"/>
      <c r="G138" s="29"/>
      <c r="H138" s="30"/>
      <c r="I138" s="29"/>
      <c r="J138" s="29"/>
      <c r="K138" s="29"/>
    </row>
    <row r="139" spans="2:11" ht="15.75" customHeight="1" x14ac:dyDescent="0.3">
      <c r="B139" s="79"/>
      <c r="C139" s="79"/>
      <c r="D139" s="79"/>
      <c r="E139" s="79"/>
      <c r="F139" s="79"/>
      <c r="G139" s="79"/>
      <c r="H139" s="80"/>
      <c r="I139" s="79"/>
      <c r="J139" s="79"/>
      <c r="K139" s="79"/>
    </row>
    <row r="140" spans="2:11" ht="15.75" customHeight="1" x14ac:dyDescent="0.3">
      <c r="B140" s="29"/>
      <c r="C140" s="29"/>
      <c r="D140" s="29"/>
      <c r="E140" s="29"/>
      <c r="F140" s="29"/>
      <c r="G140" s="29"/>
      <c r="H140" s="30"/>
      <c r="I140" s="29"/>
      <c r="J140" s="29"/>
      <c r="K140" s="29"/>
    </row>
    <row r="141" spans="2:11" ht="15.75" customHeight="1" x14ac:dyDescent="0.3">
      <c r="B141" s="79"/>
      <c r="C141" s="79"/>
      <c r="D141" s="79"/>
      <c r="E141" s="79"/>
      <c r="F141" s="79"/>
      <c r="G141" s="79"/>
      <c r="H141" s="80"/>
      <c r="I141" s="79"/>
      <c r="J141" s="79"/>
      <c r="K141" s="79"/>
    </row>
    <row r="142" spans="2:11" ht="15.75" customHeight="1" x14ac:dyDescent="0.3">
      <c r="B142" s="29"/>
      <c r="C142" s="29"/>
      <c r="D142" s="29"/>
      <c r="E142" s="29"/>
      <c r="F142" s="29"/>
      <c r="G142" s="29"/>
      <c r="H142" s="30"/>
      <c r="I142" s="29"/>
      <c r="J142" s="29"/>
      <c r="K142" s="29"/>
    </row>
    <row r="143" spans="2:11" ht="15.75" customHeight="1" x14ac:dyDescent="0.3">
      <c r="B143" s="79"/>
      <c r="C143" s="79"/>
      <c r="D143" s="79"/>
      <c r="E143" s="79"/>
      <c r="F143" s="79"/>
      <c r="G143" s="79"/>
      <c r="H143" s="80"/>
      <c r="I143" s="79"/>
      <c r="J143" s="79"/>
      <c r="K143" s="79"/>
    </row>
    <row r="144" spans="2:11" ht="15.75" customHeight="1" x14ac:dyDescent="0.3">
      <c r="B144" s="29"/>
      <c r="C144" s="29"/>
      <c r="D144" s="29"/>
      <c r="E144" s="29"/>
      <c r="F144" s="29"/>
      <c r="G144" s="29"/>
      <c r="H144" s="30"/>
      <c r="I144" s="29"/>
      <c r="J144" s="29"/>
      <c r="K144" s="29"/>
    </row>
    <row r="145" spans="2:11" ht="15.75" customHeight="1" x14ac:dyDescent="0.3">
      <c r="B145" s="79"/>
      <c r="C145" s="79"/>
      <c r="D145" s="79"/>
      <c r="E145" s="79"/>
      <c r="F145" s="79"/>
      <c r="G145" s="79"/>
      <c r="H145" s="80"/>
      <c r="I145" s="79"/>
      <c r="J145" s="79"/>
      <c r="K145" s="79"/>
    </row>
    <row r="146" spans="2:11" ht="15.75" customHeight="1" x14ac:dyDescent="0.3">
      <c r="B146" s="29"/>
      <c r="C146" s="29"/>
      <c r="D146" s="29"/>
      <c r="E146" s="29"/>
      <c r="F146" s="29"/>
      <c r="G146" s="29"/>
      <c r="H146" s="30"/>
      <c r="I146" s="29"/>
      <c r="J146" s="29"/>
      <c r="K146" s="29"/>
    </row>
    <row r="147" spans="2:11" ht="15.75" customHeight="1" x14ac:dyDescent="0.3">
      <c r="B147" s="79"/>
      <c r="C147" s="79"/>
      <c r="D147" s="79"/>
      <c r="E147" s="79"/>
      <c r="F147" s="79"/>
      <c r="G147" s="79"/>
      <c r="H147" s="80"/>
      <c r="I147" s="79"/>
      <c r="J147" s="79"/>
      <c r="K147" s="79"/>
    </row>
    <row r="148" spans="2:11" ht="15.75" customHeight="1" x14ac:dyDescent="0.3">
      <c r="B148" s="29"/>
      <c r="C148" s="29"/>
      <c r="D148" s="29"/>
      <c r="E148" s="29"/>
      <c r="F148" s="29"/>
      <c r="G148" s="29"/>
      <c r="H148" s="30"/>
      <c r="I148" s="29"/>
      <c r="J148" s="29"/>
      <c r="K148" s="29"/>
    </row>
    <row r="149" spans="2:11" ht="15.75" customHeight="1" x14ac:dyDescent="0.3">
      <c r="B149" s="79"/>
      <c r="C149" s="79"/>
      <c r="D149" s="79"/>
      <c r="E149" s="79"/>
      <c r="F149" s="79"/>
      <c r="G149" s="79"/>
      <c r="H149" s="80"/>
      <c r="I149" s="79"/>
      <c r="J149" s="79"/>
      <c r="K149" s="79"/>
    </row>
    <row r="150" spans="2:11" ht="15.75" customHeight="1" x14ac:dyDescent="0.3">
      <c r="B150" s="29"/>
      <c r="C150" s="29"/>
      <c r="D150" s="29"/>
      <c r="E150" s="29"/>
      <c r="F150" s="29"/>
      <c r="G150" s="29"/>
      <c r="H150" s="30"/>
      <c r="I150" s="29"/>
      <c r="J150" s="29"/>
      <c r="K150" s="29"/>
    </row>
    <row r="151" spans="2:11" ht="15.75" customHeight="1" x14ac:dyDescent="0.3">
      <c r="B151" s="79"/>
      <c r="C151" s="79"/>
      <c r="D151" s="79"/>
      <c r="E151" s="79"/>
      <c r="F151" s="79"/>
      <c r="G151" s="79"/>
      <c r="H151" s="80"/>
      <c r="I151" s="79"/>
      <c r="J151" s="79"/>
      <c r="K151" s="79"/>
    </row>
    <row r="152" spans="2:11" ht="15.75" customHeight="1" x14ac:dyDescent="0.3">
      <c r="B152" s="29"/>
      <c r="C152" s="29"/>
      <c r="D152" s="29"/>
      <c r="E152" s="29"/>
      <c r="F152" s="29"/>
      <c r="G152" s="29"/>
      <c r="H152" s="30"/>
      <c r="I152" s="29"/>
      <c r="J152" s="29"/>
      <c r="K152" s="29"/>
    </row>
    <row r="153" spans="2:11" ht="15.75" customHeight="1" x14ac:dyDescent="0.3">
      <c r="B153" s="79"/>
      <c r="C153" s="79"/>
      <c r="D153" s="79"/>
      <c r="E153" s="79"/>
      <c r="F153" s="79"/>
      <c r="G153" s="79"/>
      <c r="H153" s="80"/>
      <c r="I153" s="79"/>
      <c r="J153" s="79"/>
      <c r="K153" s="79"/>
    </row>
    <row r="154" spans="2:11" ht="15.75" customHeight="1" x14ac:dyDescent="0.3">
      <c r="B154" s="29"/>
      <c r="C154" s="29"/>
      <c r="D154" s="29"/>
      <c r="E154" s="29"/>
      <c r="F154" s="29"/>
      <c r="G154" s="29"/>
      <c r="H154" s="30"/>
      <c r="I154" s="29"/>
      <c r="J154" s="29"/>
      <c r="K154" s="29"/>
    </row>
    <row r="155" spans="2:11" ht="15.75" customHeight="1" x14ac:dyDescent="0.3">
      <c r="B155" s="79"/>
      <c r="C155" s="79"/>
      <c r="D155" s="79"/>
      <c r="E155" s="79"/>
      <c r="F155" s="79"/>
      <c r="G155" s="79"/>
      <c r="H155" s="80"/>
      <c r="I155" s="79"/>
      <c r="J155" s="79"/>
      <c r="K155" s="79"/>
    </row>
    <row r="156" spans="2:11" ht="15.75" customHeight="1" x14ac:dyDescent="0.3">
      <c r="B156" s="29"/>
      <c r="C156" s="29"/>
      <c r="D156" s="29"/>
      <c r="E156" s="29"/>
      <c r="F156" s="29"/>
      <c r="G156" s="29"/>
      <c r="H156" s="30"/>
      <c r="I156" s="29"/>
      <c r="J156" s="29"/>
      <c r="K156" s="29"/>
    </row>
    <row r="157" spans="2:11" ht="15.75" customHeight="1" x14ac:dyDescent="0.3">
      <c r="B157" s="79"/>
      <c r="C157" s="79"/>
      <c r="D157" s="79"/>
      <c r="E157" s="79"/>
      <c r="F157" s="79"/>
      <c r="G157" s="79"/>
      <c r="H157" s="80"/>
      <c r="I157" s="79"/>
      <c r="J157" s="79"/>
      <c r="K157" s="79"/>
    </row>
    <row r="158" spans="2:11" ht="15.75" customHeight="1" x14ac:dyDescent="0.3">
      <c r="B158" s="29"/>
      <c r="C158" s="29"/>
      <c r="D158" s="29"/>
      <c r="E158" s="29"/>
      <c r="F158" s="29"/>
      <c r="G158" s="29"/>
      <c r="H158" s="30"/>
      <c r="I158" s="29"/>
      <c r="J158" s="29"/>
      <c r="K158" s="29"/>
    </row>
    <row r="159" spans="2:11" ht="15.75" customHeight="1" x14ac:dyDescent="0.3">
      <c r="B159" s="79"/>
      <c r="C159" s="79"/>
      <c r="D159" s="79"/>
      <c r="E159" s="79"/>
      <c r="F159" s="79"/>
      <c r="G159" s="79"/>
      <c r="H159" s="80"/>
      <c r="I159" s="79"/>
      <c r="J159" s="79"/>
      <c r="K159" s="79"/>
    </row>
    <row r="160" spans="2:11" ht="15.75" customHeight="1" x14ac:dyDescent="0.3">
      <c r="B160" s="29"/>
      <c r="C160" s="29"/>
      <c r="D160" s="29"/>
      <c r="E160" s="29"/>
      <c r="F160" s="29"/>
      <c r="G160" s="29"/>
      <c r="H160" s="30"/>
      <c r="I160" s="29"/>
      <c r="J160" s="29"/>
      <c r="K160" s="29"/>
    </row>
    <row r="161" spans="2:11" ht="15.75" customHeight="1" x14ac:dyDescent="0.3">
      <c r="B161" s="79"/>
      <c r="C161" s="79"/>
      <c r="D161" s="79"/>
      <c r="E161" s="79"/>
      <c r="F161" s="79"/>
      <c r="G161" s="79"/>
      <c r="H161" s="80"/>
      <c r="I161" s="79"/>
      <c r="J161" s="79"/>
      <c r="K161" s="79"/>
    </row>
    <row r="162" spans="2:11" ht="15.75" customHeight="1" x14ac:dyDescent="0.3">
      <c r="B162" s="29"/>
      <c r="C162" s="29"/>
      <c r="D162" s="29"/>
      <c r="E162" s="29"/>
      <c r="F162" s="29"/>
      <c r="G162" s="29"/>
      <c r="H162" s="30"/>
      <c r="I162" s="29"/>
      <c r="J162" s="29"/>
      <c r="K162" s="29"/>
    </row>
    <row r="163" spans="2:11" ht="15.75" customHeight="1" x14ac:dyDescent="0.3">
      <c r="B163" s="79"/>
      <c r="C163" s="79"/>
      <c r="D163" s="79"/>
      <c r="E163" s="79"/>
      <c r="F163" s="79"/>
      <c r="G163" s="79"/>
      <c r="H163" s="80"/>
      <c r="I163" s="79"/>
      <c r="J163" s="79"/>
      <c r="K163" s="79"/>
    </row>
    <row r="164" spans="2:11" ht="15.75" customHeight="1" x14ac:dyDescent="0.3">
      <c r="B164" s="29"/>
      <c r="C164" s="29"/>
      <c r="D164" s="29"/>
      <c r="E164" s="29"/>
      <c r="F164" s="29"/>
      <c r="G164" s="29"/>
      <c r="H164" s="30"/>
      <c r="I164" s="29"/>
      <c r="J164" s="29"/>
      <c r="K164" s="29"/>
    </row>
    <row r="165" spans="2:11" ht="15.75" customHeight="1" x14ac:dyDescent="0.3">
      <c r="B165" s="79"/>
      <c r="C165" s="79"/>
      <c r="D165" s="79"/>
      <c r="E165" s="79"/>
      <c r="F165" s="79"/>
      <c r="G165" s="79"/>
      <c r="H165" s="80"/>
      <c r="I165" s="79"/>
      <c r="J165" s="79"/>
      <c r="K165" s="79"/>
    </row>
    <row r="166" spans="2:11" ht="15.75" customHeight="1" x14ac:dyDescent="0.3">
      <c r="B166" s="29"/>
      <c r="C166" s="29"/>
      <c r="D166" s="29"/>
      <c r="E166" s="29"/>
      <c r="F166" s="29"/>
      <c r="G166" s="29"/>
      <c r="H166" s="30"/>
      <c r="I166" s="29"/>
      <c r="J166" s="29"/>
      <c r="K166" s="29"/>
    </row>
    <row r="167" spans="2:11" ht="15.75" customHeight="1" x14ac:dyDescent="0.3">
      <c r="B167" s="79"/>
      <c r="C167" s="79"/>
      <c r="D167" s="79"/>
      <c r="E167" s="79"/>
      <c r="F167" s="79"/>
      <c r="G167" s="79"/>
      <c r="H167" s="80"/>
      <c r="I167" s="79"/>
      <c r="J167" s="79"/>
      <c r="K167" s="79"/>
    </row>
    <row r="168" spans="2:11" ht="15.75" customHeight="1" x14ac:dyDescent="0.3">
      <c r="B168" s="29"/>
      <c r="C168" s="29"/>
      <c r="D168" s="29"/>
      <c r="E168" s="29"/>
      <c r="F168" s="29"/>
      <c r="G168" s="29"/>
      <c r="H168" s="30"/>
      <c r="I168" s="29"/>
      <c r="J168" s="29"/>
      <c r="K168" s="29"/>
    </row>
    <row r="169" spans="2:11" ht="15.75" customHeight="1" x14ac:dyDescent="0.3">
      <c r="B169" s="79"/>
      <c r="C169" s="79"/>
      <c r="D169" s="79"/>
      <c r="E169" s="79"/>
      <c r="F169" s="79"/>
      <c r="G169" s="79"/>
      <c r="H169" s="80"/>
      <c r="I169" s="79"/>
      <c r="J169" s="79"/>
      <c r="K169" s="79"/>
    </row>
    <row r="170" spans="2:11" ht="15.75" customHeight="1" x14ac:dyDescent="0.3">
      <c r="B170" s="29"/>
      <c r="C170" s="29"/>
      <c r="D170" s="29"/>
      <c r="E170" s="29"/>
      <c r="F170" s="29"/>
      <c r="G170" s="29"/>
      <c r="H170" s="30"/>
      <c r="I170" s="29"/>
      <c r="J170" s="29"/>
      <c r="K170" s="29"/>
    </row>
    <row r="171" spans="2:11" ht="15.75" customHeight="1" x14ac:dyDescent="0.3">
      <c r="B171" s="79"/>
      <c r="C171" s="79"/>
      <c r="D171" s="79"/>
      <c r="E171" s="79"/>
      <c r="F171" s="79"/>
      <c r="G171" s="79"/>
      <c r="H171" s="80"/>
      <c r="I171" s="79"/>
      <c r="J171" s="79"/>
      <c r="K171" s="79"/>
    </row>
    <row r="172" spans="2:11" ht="15.75" customHeight="1" x14ac:dyDescent="0.3">
      <c r="B172" s="29"/>
      <c r="C172" s="29"/>
      <c r="D172" s="29"/>
      <c r="E172" s="29"/>
      <c r="F172" s="29"/>
      <c r="G172" s="29"/>
      <c r="H172" s="30"/>
      <c r="I172" s="29"/>
      <c r="J172" s="29"/>
      <c r="K172" s="29"/>
    </row>
    <row r="173" spans="2:11" ht="15.75" customHeight="1" x14ac:dyDescent="0.3">
      <c r="B173" s="79"/>
      <c r="C173" s="79"/>
      <c r="D173" s="79"/>
      <c r="E173" s="79"/>
      <c r="F173" s="79"/>
      <c r="G173" s="79"/>
      <c r="H173" s="80"/>
      <c r="I173" s="79"/>
      <c r="J173" s="79"/>
      <c r="K173" s="79"/>
    </row>
    <row r="174" spans="2:11" ht="15.75" customHeight="1" x14ac:dyDescent="0.3">
      <c r="B174" s="29"/>
      <c r="C174" s="29"/>
      <c r="D174" s="29"/>
      <c r="E174" s="29"/>
      <c r="F174" s="29"/>
      <c r="G174" s="29"/>
      <c r="H174" s="30"/>
      <c r="I174" s="29"/>
      <c r="J174" s="29"/>
      <c r="K174" s="29"/>
    </row>
    <row r="175" spans="2:11" ht="15.75" customHeight="1" x14ac:dyDescent="0.3">
      <c r="B175" s="79"/>
      <c r="C175" s="79"/>
      <c r="D175" s="79"/>
      <c r="E175" s="79"/>
      <c r="F175" s="79"/>
      <c r="G175" s="79"/>
      <c r="H175" s="80"/>
      <c r="I175" s="79"/>
      <c r="J175" s="79"/>
      <c r="K175" s="79"/>
    </row>
    <row r="176" spans="2:11" ht="15.75" customHeight="1" x14ac:dyDescent="0.3">
      <c r="B176" s="29"/>
      <c r="C176" s="29"/>
      <c r="D176" s="29"/>
      <c r="E176" s="29"/>
      <c r="F176" s="29"/>
      <c r="G176" s="29"/>
      <c r="H176" s="30"/>
      <c r="I176" s="29"/>
      <c r="J176" s="29"/>
      <c r="K176" s="29"/>
    </row>
    <row r="177" spans="2:11" ht="15.75" customHeight="1" x14ac:dyDescent="0.3">
      <c r="B177" s="79"/>
      <c r="C177" s="79"/>
      <c r="D177" s="79"/>
      <c r="E177" s="79"/>
      <c r="F177" s="79"/>
      <c r="G177" s="79"/>
      <c r="H177" s="80"/>
      <c r="I177" s="79"/>
      <c r="J177" s="79"/>
      <c r="K177" s="79"/>
    </row>
    <row r="178" spans="2:11" ht="15.75" customHeight="1" x14ac:dyDescent="0.3">
      <c r="B178" s="29"/>
      <c r="C178" s="29"/>
      <c r="D178" s="29"/>
      <c r="E178" s="29"/>
      <c r="F178" s="29"/>
      <c r="G178" s="29"/>
      <c r="H178" s="30"/>
      <c r="I178" s="29"/>
      <c r="J178" s="29"/>
      <c r="K178" s="29"/>
    </row>
    <row r="179" spans="2:11" ht="15.75" customHeight="1" x14ac:dyDescent="0.3">
      <c r="B179" s="79"/>
      <c r="C179" s="79"/>
      <c r="D179" s="79"/>
      <c r="E179" s="79"/>
      <c r="F179" s="79"/>
      <c r="G179" s="79"/>
      <c r="H179" s="80"/>
      <c r="I179" s="79"/>
      <c r="J179" s="79"/>
      <c r="K179" s="79"/>
    </row>
    <row r="180" spans="2:11" ht="15.75" customHeight="1" x14ac:dyDescent="0.3">
      <c r="B180" s="29"/>
      <c r="C180" s="29"/>
      <c r="D180" s="29"/>
      <c r="E180" s="29"/>
      <c r="F180" s="29"/>
      <c r="G180" s="29"/>
      <c r="H180" s="30"/>
      <c r="I180" s="29"/>
      <c r="J180" s="29"/>
      <c r="K180" s="29"/>
    </row>
    <row r="181" spans="2:11" ht="15.75" customHeight="1" x14ac:dyDescent="0.3">
      <c r="B181" s="79"/>
      <c r="C181" s="79"/>
      <c r="D181" s="79"/>
      <c r="E181" s="79"/>
      <c r="F181" s="79"/>
      <c r="G181" s="79"/>
      <c r="H181" s="80"/>
      <c r="I181" s="79"/>
      <c r="J181" s="79"/>
      <c r="K181" s="79"/>
    </row>
    <row r="182" spans="2:11" ht="15.75" customHeight="1" x14ac:dyDescent="0.3">
      <c r="B182" s="29"/>
      <c r="C182" s="29"/>
      <c r="D182" s="29"/>
      <c r="E182" s="29"/>
      <c r="F182" s="29"/>
      <c r="G182" s="29"/>
      <c r="H182" s="30"/>
      <c r="I182" s="29"/>
      <c r="J182" s="29"/>
      <c r="K182" s="29"/>
    </row>
    <row r="183" spans="2:11" ht="15.75" customHeight="1" x14ac:dyDescent="0.3">
      <c r="B183" s="79"/>
      <c r="C183" s="79"/>
      <c r="D183" s="79"/>
      <c r="E183" s="79"/>
      <c r="F183" s="79"/>
      <c r="G183" s="79"/>
      <c r="H183" s="80"/>
      <c r="I183" s="79"/>
      <c r="J183" s="79"/>
      <c r="K183" s="79"/>
    </row>
    <row r="184" spans="2:11" ht="15.75" customHeight="1" x14ac:dyDescent="0.3">
      <c r="B184" s="29"/>
      <c r="C184" s="29"/>
      <c r="D184" s="29"/>
      <c r="E184" s="29"/>
      <c r="F184" s="29"/>
      <c r="G184" s="29"/>
      <c r="H184" s="30"/>
      <c r="I184" s="29"/>
      <c r="J184" s="29"/>
      <c r="K184" s="29"/>
    </row>
    <row r="185" spans="2:11" ht="15.75" customHeight="1" x14ac:dyDescent="0.3">
      <c r="B185" s="79"/>
      <c r="C185" s="79"/>
      <c r="D185" s="79"/>
      <c r="E185" s="79"/>
      <c r="F185" s="79"/>
      <c r="G185" s="79"/>
      <c r="H185" s="80"/>
      <c r="I185" s="79"/>
      <c r="J185" s="79"/>
      <c r="K185" s="79"/>
    </row>
    <row r="186" spans="2:11" ht="15.75" customHeight="1" x14ac:dyDescent="0.3">
      <c r="B186" s="29"/>
      <c r="C186" s="29"/>
      <c r="D186" s="29"/>
      <c r="E186" s="29"/>
      <c r="F186" s="29"/>
      <c r="G186" s="29"/>
      <c r="H186" s="30"/>
      <c r="I186" s="29"/>
      <c r="J186" s="29"/>
      <c r="K186" s="29"/>
    </row>
    <row r="187" spans="2:11" ht="15.75" customHeight="1" x14ac:dyDescent="0.3">
      <c r="B187" s="79"/>
      <c r="C187" s="79"/>
      <c r="D187" s="79"/>
      <c r="E187" s="79"/>
      <c r="F187" s="79"/>
      <c r="G187" s="79"/>
      <c r="H187" s="80"/>
      <c r="I187" s="79"/>
      <c r="J187" s="79"/>
      <c r="K187" s="79"/>
    </row>
    <row r="188" spans="2:11" ht="15.75" customHeight="1" x14ac:dyDescent="0.3">
      <c r="B188" s="29"/>
      <c r="C188" s="29"/>
      <c r="D188" s="29"/>
      <c r="E188" s="29"/>
      <c r="F188" s="29"/>
      <c r="G188" s="29"/>
      <c r="H188" s="30"/>
      <c r="I188" s="29"/>
      <c r="J188" s="29"/>
      <c r="K188" s="29"/>
    </row>
    <row r="189" spans="2:11" ht="15.75" customHeight="1" x14ac:dyDescent="0.3">
      <c r="B189" s="79"/>
      <c r="C189" s="79"/>
      <c r="D189" s="79"/>
      <c r="E189" s="79"/>
      <c r="F189" s="79"/>
      <c r="G189" s="79"/>
      <c r="H189" s="80"/>
      <c r="I189" s="79"/>
      <c r="J189" s="79"/>
      <c r="K189" s="79"/>
    </row>
    <row r="190" spans="2:11" ht="15.75" customHeight="1" x14ac:dyDescent="0.3">
      <c r="B190" s="29"/>
      <c r="C190" s="29"/>
      <c r="D190" s="29"/>
      <c r="E190" s="29"/>
      <c r="F190" s="29"/>
      <c r="G190" s="29"/>
      <c r="H190" s="30"/>
      <c r="I190" s="29"/>
      <c r="J190" s="29"/>
      <c r="K190" s="29"/>
    </row>
    <row r="191" spans="2:11" ht="15.75" customHeight="1" x14ac:dyDescent="0.3">
      <c r="B191" s="79"/>
      <c r="C191" s="79"/>
      <c r="D191" s="79"/>
      <c r="E191" s="79"/>
      <c r="F191" s="79"/>
      <c r="G191" s="79"/>
      <c r="H191" s="80"/>
      <c r="I191" s="79"/>
      <c r="J191" s="79"/>
      <c r="K191" s="79"/>
    </row>
    <row r="192" spans="2:11" ht="15.75" customHeight="1" x14ac:dyDescent="0.3">
      <c r="B192" s="29"/>
      <c r="C192" s="29"/>
      <c r="D192" s="29"/>
      <c r="E192" s="29"/>
      <c r="F192" s="29"/>
      <c r="G192" s="29"/>
      <c r="H192" s="30"/>
      <c r="I192" s="29"/>
      <c r="J192" s="29"/>
      <c r="K192" s="29"/>
    </row>
    <row r="193" spans="2:11" ht="15.75" customHeight="1" x14ac:dyDescent="0.3">
      <c r="B193" s="79"/>
      <c r="C193" s="79"/>
      <c r="D193" s="79"/>
      <c r="E193" s="79"/>
      <c r="F193" s="79"/>
      <c r="G193" s="79"/>
      <c r="H193" s="80"/>
      <c r="I193" s="79"/>
      <c r="J193" s="79"/>
      <c r="K193" s="79"/>
    </row>
    <row r="194" spans="2:11" ht="15.75" customHeight="1" x14ac:dyDescent="0.3">
      <c r="B194" s="29"/>
      <c r="C194" s="29"/>
      <c r="D194" s="29"/>
      <c r="E194" s="29"/>
      <c r="F194" s="29"/>
      <c r="G194" s="29"/>
      <c r="H194" s="30"/>
      <c r="I194" s="29"/>
      <c r="J194" s="29"/>
      <c r="K194" s="29"/>
    </row>
    <row r="195" spans="2:11" ht="15.75" customHeight="1" x14ac:dyDescent="0.3">
      <c r="B195" s="79"/>
      <c r="C195" s="79"/>
      <c r="D195" s="79"/>
      <c r="E195" s="79"/>
      <c r="F195" s="79"/>
      <c r="G195" s="79"/>
      <c r="H195" s="80"/>
      <c r="I195" s="79"/>
      <c r="J195" s="79"/>
      <c r="K195" s="79"/>
    </row>
    <row r="196" spans="2:11" ht="15.75" customHeight="1" x14ac:dyDescent="0.3">
      <c r="B196" s="29"/>
      <c r="C196" s="29"/>
      <c r="D196" s="29"/>
      <c r="E196" s="29"/>
      <c r="F196" s="29"/>
      <c r="G196" s="29"/>
      <c r="H196" s="30"/>
      <c r="I196" s="29"/>
      <c r="J196" s="29"/>
      <c r="K196" s="29"/>
    </row>
    <row r="197" spans="2:11" ht="15.75" customHeight="1" x14ac:dyDescent="0.3">
      <c r="B197" s="79"/>
      <c r="C197" s="79"/>
      <c r="D197" s="79"/>
      <c r="E197" s="79"/>
      <c r="F197" s="79"/>
      <c r="G197" s="79"/>
      <c r="H197" s="80"/>
      <c r="I197" s="79"/>
      <c r="J197" s="79"/>
      <c r="K197" s="79"/>
    </row>
    <row r="198" spans="2:11" ht="15.75" customHeight="1" x14ac:dyDescent="0.3">
      <c r="B198" s="29"/>
      <c r="C198" s="29"/>
      <c r="D198" s="29"/>
      <c r="E198" s="29"/>
      <c r="F198" s="29"/>
      <c r="G198" s="29"/>
      <c r="H198" s="30"/>
      <c r="I198" s="29"/>
      <c r="J198" s="29"/>
      <c r="K198" s="29"/>
    </row>
    <row r="199" spans="2:11" ht="15.75" customHeight="1" x14ac:dyDescent="0.3">
      <c r="B199" s="79"/>
      <c r="C199" s="79"/>
      <c r="D199" s="79"/>
      <c r="E199" s="79"/>
      <c r="F199" s="79"/>
      <c r="G199" s="79"/>
      <c r="H199" s="80"/>
      <c r="I199" s="79"/>
      <c r="J199" s="79"/>
      <c r="K199" s="79"/>
    </row>
    <row r="200" spans="2:11" ht="15.75" customHeight="1" x14ac:dyDescent="0.3">
      <c r="B200" s="29"/>
      <c r="C200" s="29"/>
      <c r="D200" s="29"/>
      <c r="E200" s="29"/>
      <c r="F200" s="29"/>
      <c r="G200" s="29"/>
      <c r="H200" s="30"/>
      <c r="I200" s="29"/>
      <c r="J200" s="29"/>
      <c r="K200" s="29"/>
    </row>
    <row r="201" spans="2:11" ht="15.75" customHeight="1" x14ac:dyDescent="0.3">
      <c r="B201" s="79"/>
      <c r="C201" s="79"/>
      <c r="D201" s="79"/>
      <c r="E201" s="79"/>
      <c r="F201" s="79"/>
      <c r="G201" s="79"/>
      <c r="H201" s="80"/>
      <c r="I201" s="79"/>
      <c r="J201" s="79"/>
      <c r="K201" s="79"/>
    </row>
    <row r="202" spans="2:11" ht="15.75" customHeight="1" x14ac:dyDescent="0.3">
      <c r="B202" s="29"/>
      <c r="C202" s="29"/>
      <c r="D202" s="29"/>
      <c r="E202" s="29"/>
      <c r="F202" s="29"/>
      <c r="G202" s="29"/>
      <c r="H202" s="30"/>
      <c r="I202" s="29"/>
      <c r="J202" s="29"/>
      <c r="K202" s="29"/>
    </row>
    <row r="203" spans="2:11" ht="15.75" customHeight="1" x14ac:dyDescent="0.3">
      <c r="B203" s="79"/>
      <c r="C203" s="79"/>
      <c r="D203" s="79"/>
      <c r="E203" s="79"/>
      <c r="F203" s="79"/>
      <c r="G203" s="79"/>
      <c r="H203" s="80"/>
      <c r="I203" s="79"/>
      <c r="J203" s="79"/>
      <c r="K203" s="79"/>
    </row>
    <row r="204" spans="2:11" ht="15.75" customHeight="1" x14ac:dyDescent="0.3">
      <c r="B204" s="29"/>
      <c r="C204" s="29"/>
      <c r="D204" s="29"/>
      <c r="E204" s="29"/>
      <c r="F204" s="29"/>
      <c r="G204" s="29"/>
      <c r="H204" s="30"/>
      <c r="I204" s="29"/>
      <c r="J204" s="29"/>
      <c r="K204" s="29"/>
    </row>
    <row r="205" spans="2:11" ht="15.75" customHeight="1" x14ac:dyDescent="0.3">
      <c r="B205" s="79"/>
      <c r="C205" s="79"/>
      <c r="D205" s="79"/>
      <c r="E205" s="79"/>
      <c r="F205" s="79"/>
      <c r="G205" s="79"/>
      <c r="H205" s="80"/>
      <c r="I205" s="79"/>
      <c r="J205" s="79"/>
      <c r="K205" s="79"/>
    </row>
    <row r="206" spans="2:11" ht="15.75" customHeight="1" x14ac:dyDescent="0.3">
      <c r="B206" s="29"/>
      <c r="C206" s="29"/>
      <c r="D206" s="29"/>
      <c r="E206" s="29"/>
      <c r="F206" s="29"/>
      <c r="G206" s="29"/>
      <c r="H206" s="30"/>
      <c r="I206" s="29"/>
      <c r="J206" s="29"/>
      <c r="K206" s="29"/>
    </row>
    <row r="207" spans="2:11" ht="15.75" customHeight="1" x14ac:dyDescent="0.3">
      <c r="B207" s="79"/>
      <c r="C207" s="79"/>
      <c r="D207" s="79"/>
      <c r="E207" s="79"/>
      <c r="F207" s="79"/>
      <c r="G207" s="79"/>
      <c r="H207" s="80"/>
      <c r="I207" s="79"/>
      <c r="J207" s="79"/>
      <c r="K207" s="79"/>
    </row>
    <row r="208" spans="2:11" ht="15.75" customHeight="1" x14ac:dyDescent="0.3">
      <c r="B208" s="29"/>
      <c r="C208" s="29"/>
      <c r="D208" s="29"/>
      <c r="E208" s="29"/>
      <c r="F208" s="29"/>
      <c r="G208" s="29"/>
      <c r="H208" s="30"/>
      <c r="I208" s="29"/>
      <c r="J208" s="29"/>
      <c r="K208" s="29"/>
    </row>
    <row r="209" spans="2:11" ht="15.75" customHeight="1" x14ac:dyDescent="0.3">
      <c r="B209" s="79"/>
      <c r="C209" s="79"/>
      <c r="D209" s="79"/>
      <c r="E209" s="79"/>
      <c r="F209" s="79"/>
      <c r="G209" s="79"/>
      <c r="H209" s="80"/>
      <c r="I209" s="79"/>
      <c r="J209" s="79"/>
      <c r="K209" s="79"/>
    </row>
    <row r="210" spans="2:11" ht="15.75" customHeight="1" x14ac:dyDescent="0.3">
      <c r="B210" s="29"/>
      <c r="C210" s="29"/>
      <c r="D210" s="29"/>
      <c r="E210" s="29"/>
      <c r="F210" s="29"/>
      <c r="G210" s="29"/>
      <c r="H210" s="30"/>
      <c r="I210" s="29"/>
      <c r="J210" s="29"/>
      <c r="K210" s="29"/>
    </row>
    <row r="211" spans="2:11" ht="15.75" customHeight="1" x14ac:dyDescent="0.3">
      <c r="B211" s="79"/>
      <c r="C211" s="79"/>
      <c r="D211" s="79"/>
      <c r="E211" s="79"/>
      <c r="F211" s="79"/>
      <c r="G211" s="79"/>
      <c r="H211" s="80"/>
      <c r="I211" s="79"/>
      <c r="J211" s="79"/>
      <c r="K211" s="79"/>
    </row>
    <row r="212" spans="2:11" ht="15.75" customHeight="1" x14ac:dyDescent="0.3">
      <c r="B212" s="29"/>
      <c r="C212" s="29"/>
      <c r="D212" s="29"/>
      <c r="E212" s="29"/>
      <c r="F212" s="29"/>
      <c r="G212" s="29"/>
      <c r="H212" s="30"/>
      <c r="I212" s="29"/>
      <c r="J212" s="29"/>
      <c r="K212" s="29"/>
    </row>
    <row r="213" spans="2:11" ht="15.75" customHeight="1" x14ac:dyDescent="0.3">
      <c r="B213" s="79"/>
      <c r="C213" s="79"/>
      <c r="D213" s="79"/>
      <c r="E213" s="79"/>
      <c r="F213" s="79"/>
      <c r="G213" s="79"/>
      <c r="H213" s="80"/>
      <c r="I213" s="79"/>
      <c r="J213" s="79"/>
      <c r="K213" s="79"/>
    </row>
    <row r="214" spans="2:11" ht="15.75" customHeight="1" x14ac:dyDescent="0.3">
      <c r="B214" s="29"/>
      <c r="C214" s="29"/>
      <c r="D214" s="29"/>
      <c r="E214" s="29"/>
      <c r="F214" s="29"/>
      <c r="G214" s="29"/>
      <c r="H214" s="30"/>
      <c r="I214" s="29"/>
      <c r="J214" s="29"/>
      <c r="K214" s="29"/>
    </row>
    <row r="215" spans="2:11" ht="15.75" customHeight="1" x14ac:dyDescent="0.3">
      <c r="C215" s="31"/>
      <c r="F215" s="31"/>
      <c r="I215" s="31"/>
      <c r="J215" s="31"/>
    </row>
    <row r="216" spans="2:11" ht="15.75" customHeight="1" x14ac:dyDescent="0.3">
      <c r="C216" s="31"/>
      <c r="F216" s="31"/>
      <c r="I216" s="31"/>
      <c r="J216" s="31"/>
    </row>
    <row r="217" spans="2:11" ht="15.75" customHeight="1" x14ac:dyDescent="0.3">
      <c r="C217" s="31"/>
      <c r="F217" s="31"/>
      <c r="I217" s="31"/>
      <c r="J217" s="31"/>
    </row>
    <row r="218" spans="2:11" ht="15.75" customHeight="1" x14ac:dyDescent="0.3">
      <c r="C218" s="31"/>
      <c r="F218" s="31"/>
      <c r="I218" s="31"/>
      <c r="J218" s="31"/>
    </row>
    <row r="219" spans="2:11" ht="15.75" customHeight="1" x14ac:dyDescent="0.3">
      <c r="C219" s="31"/>
      <c r="F219" s="31"/>
      <c r="I219" s="31"/>
      <c r="J219" s="31"/>
    </row>
    <row r="220" spans="2:11" ht="15.75" customHeight="1" x14ac:dyDescent="0.3">
      <c r="C220" s="31"/>
      <c r="F220" s="31"/>
      <c r="I220" s="31"/>
      <c r="J220" s="31"/>
    </row>
    <row r="221" spans="2:11" ht="15.75" customHeight="1" x14ac:dyDescent="0.3">
      <c r="C221" s="31"/>
      <c r="F221" s="31"/>
      <c r="I221" s="31"/>
      <c r="J221" s="31"/>
    </row>
    <row r="222" spans="2:11" ht="15.75" customHeight="1" x14ac:dyDescent="0.3">
      <c r="C222" s="31"/>
      <c r="F222" s="31"/>
      <c r="I222" s="31"/>
      <c r="J222" s="31"/>
    </row>
    <row r="223" spans="2:11" ht="15.75" customHeight="1" x14ac:dyDescent="0.3">
      <c r="C223" s="31"/>
      <c r="F223" s="31"/>
      <c r="I223" s="31"/>
      <c r="J223" s="31"/>
    </row>
    <row r="224" spans="2:11" ht="15.75" customHeight="1" x14ac:dyDescent="0.3">
      <c r="C224" s="31"/>
      <c r="F224" s="31"/>
      <c r="I224" s="31"/>
      <c r="J224" s="31"/>
    </row>
    <row r="225" spans="3:10" ht="15.75" customHeight="1" x14ac:dyDescent="0.3">
      <c r="C225" s="31"/>
      <c r="F225" s="31"/>
      <c r="I225" s="31"/>
      <c r="J225" s="31"/>
    </row>
    <row r="226" spans="3:10" ht="15.75" customHeight="1" x14ac:dyDescent="0.3">
      <c r="C226" s="31"/>
      <c r="F226" s="31"/>
      <c r="I226" s="31"/>
      <c r="J226" s="31"/>
    </row>
    <row r="227" spans="3:10" ht="15.75" customHeight="1" x14ac:dyDescent="0.3">
      <c r="C227" s="31"/>
      <c r="F227" s="31"/>
      <c r="I227" s="31"/>
      <c r="J227" s="31"/>
    </row>
    <row r="228" spans="3:10" ht="15.75" customHeight="1" x14ac:dyDescent="0.3">
      <c r="C228" s="31"/>
      <c r="F228" s="31"/>
      <c r="I228" s="31"/>
      <c r="J228" s="31"/>
    </row>
    <row r="229" spans="3:10" ht="15.75" customHeight="1" x14ac:dyDescent="0.3">
      <c r="C229" s="31"/>
      <c r="F229" s="31"/>
      <c r="I229" s="31"/>
      <c r="J229" s="31"/>
    </row>
    <row r="230" spans="3:10" ht="15.75" customHeight="1" x14ac:dyDescent="0.3">
      <c r="C230" s="31"/>
      <c r="F230" s="31"/>
      <c r="I230" s="31"/>
      <c r="J230" s="31"/>
    </row>
    <row r="231" spans="3:10" ht="15.75" customHeight="1" x14ac:dyDescent="0.3">
      <c r="C231" s="31"/>
      <c r="F231" s="31"/>
      <c r="I231" s="31"/>
      <c r="J231" s="31"/>
    </row>
    <row r="232" spans="3:10" ht="15.75" customHeight="1" x14ac:dyDescent="0.3">
      <c r="C232" s="31"/>
      <c r="F232" s="31"/>
      <c r="I232" s="31"/>
      <c r="J232" s="31"/>
    </row>
    <row r="233" spans="3:10" ht="15.75" customHeight="1" x14ac:dyDescent="0.3">
      <c r="C233" s="31"/>
      <c r="F233" s="31"/>
      <c r="I233" s="31"/>
      <c r="J233" s="31"/>
    </row>
    <row r="234" spans="3:10" ht="15.75" customHeight="1" x14ac:dyDescent="0.3">
      <c r="C234" s="31"/>
      <c r="F234" s="31"/>
      <c r="I234" s="31"/>
      <c r="J234" s="31"/>
    </row>
    <row r="235" spans="3:10" ht="15.75" customHeight="1" x14ac:dyDescent="0.3">
      <c r="C235" s="31"/>
      <c r="F235" s="31"/>
      <c r="I235" s="31"/>
      <c r="J235" s="31"/>
    </row>
    <row r="236" spans="3:10" ht="15.75" customHeight="1" x14ac:dyDescent="0.3">
      <c r="C236" s="31"/>
      <c r="F236" s="31"/>
      <c r="I236" s="31"/>
      <c r="J236" s="31"/>
    </row>
    <row r="237" spans="3:10" ht="15.75" customHeight="1" x14ac:dyDescent="0.3">
      <c r="C237" s="31"/>
      <c r="F237" s="31"/>
      <c r="I237" s="31"/>
      <c r="J237" s="31"/>
    </row>
    <row r="238" spans="3:10" ht="15.75" customHeight="1" x14ac:dyDescent="0.3">
      <c r="C238" s="31"/>
      <c r="F238" s="31"/>
      <c r="I238" s="31"/>
      <c r="J238" s="31"/>
    </row>
    <row r="239" spans="3:10" ht="15.75" customHeight="1" x14ac:dyDescent="0.3">
      <c r="C239" s="31"/>
      <c r="F239" s="31"/>
      <c r="I239" s="31"/>
      <c r="J239" s="31"/>
    </row>
    <row r="240" spans="3:10" ht="15.75" customHeight="1" x14ac:dyDescent="0.3">
      <c r="C240" s="31"/>
      <c r="F240" s="31"/>
      <c r="I240" s="31"/>
      <c r="J240" s="31"/>
    </row>
    <row r="241" spans="3:10" ht="15.75" customHeight="1" x14ac:dyDescent="0.3">
      <c r="C241" s="31"/>
      <c r="F241" s="31"/>
      <c r="I241" s="31"/>
      <c r="J241" s="31"/>
    </row>
    <row r="242" spans="3:10" ht="15.75" customHeight="1" x14ac:dyDescent="0.3">
      <c r="C242" s="31"/>
      <c r="F242" s="31"/>
      <c r="I242" s="31"/>
      <c r="J242" s="31"/>
    </row>
    <row r="243" spans="3:10" ht="15.75" customHeight="1" x14ac:dyDescent="0.3">
      <c r="C243" s="31"/>
      <c r="F243" s="31"/>
      <c r="I243" s="31"/>
      <c r="J243" s="31"/>
    </row>
    <row r="244" spans="3:10" ht="15.75" customHeight="1" x14ac:dyDescent="0.3">
      <c r="C244" s="31"/>
      <c r="F244" s="31"/>
      <c r="I244" s="31"/>
      <c r="J244" s="31"/>
    </row>
    <row r="245" spans="3:10" ht="15.75" customHeight="1" x14ac:dyDescent="0.3">
      <c r="C245" s="31"/>
      <c r="F245" s="31"/>
      <c r="I245" s="31"/>
      <c r="J245" s="31"/>
    </row>
    <row r="246" spans="3:10" ht="15.75" customHeight="1" x14ac:dyDescent="0.3">
      <c r="C246" s="31"/>
      <c r="F246" s="31"/>
      <c r="I246" s="31"/>
      <c r="J246" s="31"/>
    </row>
    <row r="247" spans="3:10" ht="15.75" customHeight="1" x14ac:dyDescent="0.3">
      <c r="C247" s="31"/>
      <c r="F247" s="31"/>
      <c r="I247" s="31"/>
      <c r="J247" s="31"/>
    </row>
    <row r="248" spans="3:10" ht="15.75" customHeight="1" x14ac:dyDescent="0.3">
      <c r="C248" s="31"/>
      <c r="F248" s="31"/>
      <c r="I248" s="31"/>
      <c r="J248" s="31"/>
    </row>
    <row r="249" spans="3:10" ht="15.75" customHeight="1" x14ac:dyDescent="0.3">
      <c r="C249" s="31"/>
      <c r="F249" s="31"/>
      <c r="I249" s="31"/>
      <c r="J249" s="31"/>
    </row>
    <row r="250" spans="3:10" ht="15.75" customHeight="1" x14ac:dyDescent="0.3">
      <c r="C250" s="31"/>
      <c r="F250" s="31"/>
      <c r="I250" s="31"/>
      <c r="J250" s="31"/>
    </row>
    <row r="251" spans="3:10" ht="15.75" customHeight="1" x14ac:dyDescent="0.3">
      <c r="C251" s="31"/>
      <c r="F251" s="31"/>
      <c r="I251" s="31"/>
      <c r="J251" s="31"/>
    </row>
    <row r="252" spans="3:10" ht="15.75" customHeight="1" x14ac:dyDescent="0.3">
      <c r="C252" s="31"/>
      <c r="F252" s="31"/>
      <c r="I252" s="31"/>
      <c r="J252" s="31"/>
    </row>
    <row r="253" spans="3:10" ht="15.75" customHeight="1" x14ac:dyDescent="0.3">
      <c r="C253" s="31"/>
      <c r="F253" s="31"/>
      <c r="I253" s="31"/>
      <c r="J253" s="31"/>
    </row>
    <row r="254" spans="3:10" ht="15.75" customHeight="1" x14ac:dyDescent="0.3">
      <c r="C254" s="31"/>
      <c r="F254" s="31"/>
      <c r="I254" s="31"/>
      <c r="J254" s="31"/>
    </row>
    <row r="255" spans="3:10" ht="15.75" customHeight="1" x14ac:dyDescent="0.3">
      <c r="C255" s="31"/>
      <c r="F255" s="31"/>
      <c r="I255" s="31"/>
      <c r="J255" s="31"/>
    </row>
    <row r="256" spans="3:10" ht="15.75" customHeight="1" x14ac:dyDescent="0.3">
      <c r="C256" s="31"/>
      <c r="F256" s="31"/>
      <c r="I256" s="31"/>
      <c r="J256" s="31"/>
    </row>
    <row r="257" spans="3:10" ht="15.75" customHeight="1" x14ac:dyDescent="0.3">
      <c r="C257" s="31"/>
      <c r="F257" s="31"/>
      <c r="I257" s="31"/>
      <c r="J257" s="31"/>
    </row>
    <row r="258" spans="3:10" ht="15.75" customHeight="1" x14ac:dyDescent="0.3">
      <c r="C258" s="31"/>
      <c r="F258" s="31"/>
      <c r="I258" s="31"/>
      <c r="J258" s="31"/>
    </row>
    <row r="259" spans="3:10" ht="15.75" customHeight="1" x14ac:dyDescent="0.3">
      <c r="C259" s="31"/>
      <c r="F259" s="31"/>
      <c r="I259" s="31"/>
      <c r="J259" s="31"/>
    </row>
    <row r="260" spans="3:10" ht="15.75" customHeight="1" x14ac:dyDescent="0.3">
      <c r="C260" s="31"/>
      <c r="F260" s="31"/>
      <c r="I260" s="31"/>
      <c r="J260" s="31"/>
    </row>
    <row r="261" spans="3:10" ht="15.75" customHeight="1" x14ac:dyDescent="0.3">
      <c r="C261" s="31"/>
      <c r="F261" s="31"/>
      <c r="I261" s="31"/>
      <c r="J261" s="31"/>
    </row>
    <row r="262" spans="3:10" ht="15.75" customHeight="1" x14ac:dyDescent="0.3">
      <c r="C262" s="31"/>
      <c r="F262" s="31"/>
      <c r="I262" s="31"/>
      <c r="J262" s="31"/>
    </row>
    <row r="263" spans="3:10" ht="15.75" customHeight="1" x14ac:dyDescent="0.3">
      <c r="C263" s="31"/>
      <c r="F263" s="31"/>
      <c r="I263" s="31"/>
      <c r="J263" s="31"/>
    </row>
    <row r="264" spans="3:10" ht="15.75" customHeight="1" x14ac:dyDescent="0.3">
      <c r="C264" s="31"/>
      <c r="F264" s="31"/>
      <c r="I264" s="31"/>
      <c r="J264" s="31"/>
    </row>
    <row r="265" spans="3:10" ht="15.75" customHeight="1" x14ac:dyDescent="0.3">
      <c r="C265" s="31"/>
      <c r="F265" s="31"/>
      <c r="I265" s="31"/>
      <c r="J265" s="31"/>
    </row>
    <row r="266" spans="3:10" ht="15.75" customHeight="1" x14ac:dyDescent="0.3">
      <c r="C266" s="31"/>
      <c r="F266" s="31"/>
      <c r="I266" s="31"/>
      <c r="J266" s="31"/>
    </row>
    <row r="267" spans="3:10" ht="15.75" customHeight="1" x14ac:dyDescent="0.3">
      <c r="C267" s="31"/>
      <c r="F267" s="31"/>
      <c r="I267" s="31"/>
      <c r="J267" s="31"/>
    </row>
    <row r="268" spans="3:10" ht="15.75" customHeight="1" x14ac:dyDescent="0.3">
      <c r="C268" s="31"/>
      <c r="F268" s="31"/>
      <c r="I268" s="31"/>
      <c r="J268" s="31"/>
    </row>
    <row r="269" spans="3:10" ht="15.75" customHeight="1" x14ac:dyDescent="0.3">
      <c r="C269" s="31"/>
      <c r="F269" s="31"/>
      <c r="I269" s="31"/>
      <c r="J269" s="31"/>
    </row>
    <row r="270" spans="3:10" ht="15.75" customHeight="1" x14ac:dyDescent="0.3">
      <c r="C270" s="31"/>
      <c r="F270" s="31"/>
      <c r="I270" s="31"/>
      <c r="J270" s="31"/>
    </row>
    <row r="271" spans="3:10" ht="15.75" customHeight="1" x14ac:dyDescent="0.3">
      <c r="C271" s="31"/>
      <c r="F271" s="31"/>
      <c r="I271" s="31"/>
      <c r="J271" s="31"/>
    </row>
    <row r="272" spans="3:10" ht="15.75" customHeight="1" x14ac:dyDescent="0.3">
      <c r="C272" s="31"/>
      <c r="F272" s="31"/>
      <c r="I272" s="31"/>
      <c r="J272" s="31"/>
    </row>
    <row r="273" spans="3:10" ht="15.75" customHeight="1" x14ac:dyDescent="0.3">
      <c r="C273" s="31"/>
      <c r="F273" s="31"/>
      <c r="I273" s="31"/>
      <c r="J273" s="31"/>
    </row>
    <row r="274" spans="3:10" ht="15.75" customHeight="1" x14ac:dyDescent="0.3">
      <c r="C274" s="31"/>
      <c r="F274" s="31"/>
      <c r="I274" s="31"/>
      <c r="J274" s="31"/>
    </row>
    <row r="275" spans="3:10" ht="15.75" customHeight="1" x14ac:dyDescent="0.3">
      <c r="C275" s="31"/>
      <c r="F275" s="31"/>
      <c r="I275" s="31"/>
      <c r="J275" s="31"/>
    </row>
    <row r="276" spans="3:10" ht="15.75" customHeight="1" x14ac:dyDescent="0.3">
      <c r="C276" s="31"/>
      <c r="F276" s="31"/>
      <c r="I276" s="31"/>
      <c r="J276" s="31"/>
    </row>
    <row r="277" spans="3:10" ht="15.75" customHeight="1" x14ac:dyDescent="0.3">
      <c r="C277" s="31"/>
      <c r="F277" s="31"/>
      <c r="I277" s="31"/>
      <c r="J277" s="31"/>
    </row>
    <row r="278" spans="3:10" ht="15.75" customHeight="1" x14ac:dyDescent="0.3">
      <c r="C278" s="31"/>
      <c r="F278" s="31"/>
      <c r="I278" s="31"/>
      <c r="J278" s="31"/>
    </row>
    <row r="279" spans="3:10" ht="15.75" customHeight="1" x14ac:dyDescent="0.3">
      <c r="C279" s="31"/>
      <c r="F279" s="31"/>
      <c r="I279" s="31"/>
      <c r="J279" s="31"/>
    </row>
    <row r="280" spans="3:10" ht="15.75" customHeight="1" x14ac:dyDescent="0.3">
      <c r="C280" s="31"/>
      <c r="F280" s="31"/>
      <c r="I280" s="31"/>
      <c r="J280" s="31"/>
    </row>
    <row r="281" spans="3:10" ht="15.75" customHeight="1" x14ac:dyDescent="0.3">
      <c r="C281" s="31"/>
      <c r="F281" s="31"/>
      <c r="I281" s="31"/>
      <c r="J281" s="31"/>
    </row>
    <row r="282" spans="3:10" ht="15.75" customHeight="1" x14ac:dyDescent="0.3">
      <c r="C282" s="31"/>
      <c r="F282" s="31"/>
      <c r="I282" s="31"/>
      <c r="J282" s="31"/>
    </row>
    <row r="283" spans="3:10" ht="15.75" customHeight="1" x14ac:dyDescent="0.3">
      <c r="C283" s="31"/>
      <c r="F283" s="31"/>
      <c r="I283" s="31"/>
      <c r="J283" s="31"/>
    </row>
    <row r="284" spans="3:10" ht="15.75" customHeight="1" x14ac:dyDescent="0.3">
      <c r="C284" s="31"/>
      <c r="F284" s="31"/>
      <c r="I284" s="31"/>
      <c r="J284" s="31"/>
    </row>
    <row r="285" spans="3:10" ht="15.75" customHeight="1" x14ac:dyDescent="0.3">
      <c r="C285" s="31"/>
      <c r="F285" s="31"/>
      <c r="I285" s="31"/>
      <c r="J285" s="31"/>
    </row>
    <row r="286" spans="3:10" ht="15.75" customHeight="1" x14ac:dyDescent="0.3">
      <c r="C286" s="31"/>
      <c r="F286" s="31"/>
      <c r="I286" s="31"/>
      <c r="J286" s="31"/>
    </row>
    <row r="287" spans="3:10" ht="15.75" customHeight="1" x14ac:dyDescent="0.3">
      <c r="C287" s="31"/>
      <c r="F287" s="31"/>
      <c r="I287" s="31"/>
      <c r="J287" s="31"/>
    </row>
    <row r="288" spans="3:10" ht="15.75" customHeight="1" x14ac:dyDescent="0.3">
      <c r="C288" s="31"/>
      <c r="F288" s="31"/>
      <c r="I288" s="31"/>
      <c r="J288" s="31"/>
    </row>
    <row r="289" spans="3:10" ht="15.75" customHeight="1" x14ac:dyDescent="0.3">
      <c r="C289" s="31"/>
      <c r="F289" s="31"/>
      <c r="I289" s="31"/>
      <c r="J289" s="31"/>
    </row>
    <row r="290" spans="3:10" ht="15.75" customHeight="1" x14ac:dyDescent="0.3">
      <c r="C290" s="31"/>
      <c r="F290" s="31"/>
      <c r="I290" s="31"/>
      <c r="J290" s="31"/>
    </row>
    <row r="291" spans="3:10" ht="15.75" customHeight="1" x14ac:dyDescent="0.3">
      <c r="C291" s="31"/>
      <c r="F291" s="31"/>
      <c r="I291" s="31"/>
      <c r="J291" s="31"/>
    </row>
    <row r="292" spans="3:10" ht="15.75" customHeight="1" x14ac:dyDescent="0.3">
      <c r="C292" s="31"/>
      <c r="F292" s="31"/>
      <c r="I292" s="31"/>
      <c r="J292" s="31"/>
    </row>
    <row r="293" spans="3:10" ht="15.75" customHeight="1" x14ac:dyDescent="0.3">
      <c r="C293" s="31"/>
      <c r="F293" s="31"/>
      <c r="I293" s="31"/>
      <c r="J293" s="31"/>
    </row>
    <row r="294" spans="3:10" ht="15.75" customHeight="1" x14ac:dyDescent="0.3">
      <c r="C294" s="31"/>
      <c r="F294" s="31"/>
      <c r="I294" s="31"/>
      <c r="J294" s="31"/>
    </row>
    <row r="295" spans="3:10" ht="15.75" customHeight="1" x14ac:dyDescent="0.3">
      <c r="C295" s="31"/>
      <c r="F295" s="31"/>
      <c r="I295" s="31"/>
      <c r="J295" s="31"/>
    </row>
    <row r="296" spans="3:10" ht="15.75" customHeight="1" x14ac:dyDescent="0.3">
      <c r="C296" s="31"/>
      <c r="F296" s="31"/>
      <c r="I296" s="31"/>
      <c r="J296" s="31"/>
    </row>
    <row r="297" spans="3:10" ht="15.75" customHeight="1" x14ac:dyDescent="0.3">
      <c r="C297" s="31"/>
      <c r="F297" s="31"/>
      <c r="I297" s="31"/>
      <c r="J297" s="31"/>
    </row>
    <row r="298" spans="3:10" ht="15.75" customHeight="1" x14ac:dyDescent="0.3">
      <c r="C298" s="31"/>
      <c r="F298" s="31"/>
      <c r="I298" s="31"/>
      <c r="J298" s="31"/>
    </row>
    <row r="299" spans="3:10" ht="15.75" customHeight="1" x14ac:dyDescent="0.3">
      <c r="C299" s="31"/>
      <c r="F299" s="31"/>
      <c r="I299" s="31"/>
      <c r="J299" s="31"/>
    </row>
    <row r="300" spans="3:10" ht="15.75" customHeight="1" x14ac:dyDescent="0.3">
      <c r="C300" s="31"/>
      <c r="F300" s="31"/>
      <c r="I300" s="31"/>
      <c r="J300" s="31"/>
    </row>
    <row r="301" spans="3:10" ht="15.75" customHeight="1" x14ac:dyDescent="0.3">
      <c r="C301" s="31"/>
      <c r="F301" s="31"/>
      <c r="I301" s="31"/>
      <c r="J301" s="31"/>
    </row>
    <row r="302" spans="3:10" ht="15.75" customHeight="1" x14ac:dyDescent="0.3">
      <c r="C302" s="31"/>
      <c r="F302" s="31"/>
      <c r="I302" s="31"/>
      <c r="J302" s="31"/>
    </row>
    <row r="303" spans="3:10" ht="15.75" customHeight="1" x14ac:dyDescent="0.3">
      <c r="C303" s="31"/>
      <c r="F303" s="31"/>
      <c r="I303" s="31"/>
      <c r="J303" s="31"/>
    </row>
    <row r="304" spans="3:10" ht="15.75" customHeight="1" x14ac:dyDescent="0.3">
      <c r="C304" s="31"/>
      <c r="F304" s="31"/>
      <c r="I304" s="31"/>
      <c r="J304" s="31"/>
    </row>
    <row r="305" spans="3:10" ht="15.75" customHeight="1" x14ac:dyDescent="0.3">
      <c r="C305" s="31"/>
      <c r="F305" s="31"/>
      <c r="I305" s="31"/>
      <c r="J305" s="31"/>
    </row>
    <row r="306" spans="3:10" ht="15.75" customHeight="1" x14ac:dyDescent="0.3">
      <c r="C306" s="31"/>
      <c r="F306" s="31"/>
      <c r="I306" s="31"/>
      <c r="J306" s="31"/>
    </row>
    <row r="307" spans="3:10" ht="15.75" customHeight="1" x14ac:dyDescent="0.3">
      <c r="C307" s="31"/>
      <c r="F307" s="31"/>
      <c r="I307" s="31"/>
      <c r="J307" s="31"/>
    </row>
    <row r="308" spans="3:10" ht="15.75" customHeight="1" x14ac:dyDescent="0.3">
      <c r="C308" s="31"/>
      <c r="F308" s="31"/>
      <c r="I308" s="31"/>
      <c r="J308" s="31"/>
    </row>
    <row r="309" spans="3:10" ht="15.75" customHeight="1" x14ac:dyDescent="0.3">
      <c r="C309" s="31"/>
      <c r="F309" s="31"/>
      <c r="I309" s="31"/>
      <c r="J309" s="31"/>
    </row>
    <row r="310" spans="3:10" ht="15.75" customHeight="1" x14ac:dyDescent="0.3">
      <c r="C310" s="31"/>
      <c r="F310" s="31"/>
      <c r="I310" s="31"/>
      <c r="J310" s="31"/>
    </row>
    <row r="311" spans="3:10" ht="15.75" customHeight="1" x14ac:dyDescent="0.3">
      <c r="C311" s="31"/>
      <c r="F311" s="31"/>
      <c r="I311" s="31"/>
      <c r="J311" s="31"/>
    </row>
    <row r="312" spans="3:10" ht="15.75" customHeight="1" x14ac:dyDescent="0.3">
      <c r="C312" s="31"/>
      <c r="F312" s="31"/>
      <c r="I312" s="31"/>
      <c r="J312" s="31"/>
    </row>
    <row r="313" spans="3:10" ht="15.75" customHeight="1" x14ac:dyDescent="0.3">
      <c r="C313" s="31"/>
      <c r="F313" s="31"/>
      <c r="I313" s="31"/>
      <c r="J313" s="31"/>
    </row>
    <row r="314" spans="3:10" ht="15.75" customHeight="1" x14ac:dyDescent="0.3">
      <c r="C314" s="31"/>
      <c r="F314" s="31"/>
      <c r="I314" s="31"/>
      <c r="J314" s="31"/>
    </row>
    <row r="315" spans="3:10" ht="15.75" customHeight="1" x14ac:dyDescent="0.3">
      <c r="C315" s="31"/>
      <c r="F315" s="31"/>
      <c r="I315" s="31"/>
      <c r="J315" s="31"/>
    </row>
    <row r="316" spans="3:10" ht="15.75" customHeight="1" x14ac:dyDescent="0.3">
      <c r="C316" s="31"/>
      <c r="F316" s="31"/>
      <c r="I316" s="31"/>
      <c r="J316" s="31"/>
    </row>
    <row r="317" spans="3:10" ht="15.75" customHeight="1" x14ac:dyDescent="0.3">
      <c r="C317" s="31"/>
      <c r="F317" s="31"/>
      <c r="I317" s="31"/>
      <c r="J317" s="31"/>
    </row>
    <row r="318" spans="3:10" ht="15.75" customHeight="1" x14ac:dyDescent="0.3">
      <c r="C318" s="31"/>
      <c r="F318" s="31"/>
      <c r="I318" s="31"/>
      <c r="J318" s="31"/>
    </row>
    <row r="319" spans="3:10" ht="15.75" customHeight="1" x14ac:dyDescent="0.3">
      <c r="C319" s="31"/>
      <c r="F319" s="31"/>
      <c r="I319" s="31"/>
      <c r="J319" s="31"/>
    </row>
    <row r="320" spans="3:10" ht="15.75" customHeight="1" x14ac:dyDescent="0.3">
      <c r="C320" s="31"/>
      <c r="F320" s="31"/>
      <c r="I320" s="31"/>
      <c r="J320" s="31"/>
    </row>
    <row r="321" spans="3:10" ht="15.75" customHeight="1" x14ac:dyDescent="0.3">
      <c r="C321" s="31"/>
      <c r="F321" s="31"/>
      <c r="I321" s="31"/>
      <c r="J321" s="31"/>
    </row>
    <row r="322" spans="3:10" ht="15.75" customHeight="1" x14ac:dyDescent="0.3">
      <c r="C322" s="31"/>
      <c r="F322" s="31"/>
      <c r="I322" s="31"/>
      <c r="J322" s="31"/>
    </row>
    <row r="323" spans="3:10" ht="15.75" customHeight="1" x14ac:dyDescent="0.3">
      <c r="C323" s="31"/>
      <c r="F323" s="31"/>
      <c r="I323" s="31"/>
      <c r="J323" s="31"/>
    </row>
    <row r="324" spans="3:10" ht="15.75" customHeight="1" x14ac:dyDescent="0.3">
      <c r="C324" s="31"/>
      <c r="F324" s="31"/>
      <c r="I324" s="31"/>
      <c r="J324" s="31"/>
    </row>
    <row r="325" spans="3:10" ht="15.75" customHeight="1" x14ac:dyDescent="0.3">
      <c r="C325" s="31"/>
      <c r="F325" s="31"/>
      <c r="I325" s="31"/>
      <c r="J325" s="31"/>
    </row>
    <row r="326" spans="3:10" ht="15.75" customHeight="1" x14ac:dyDescent="0.3">
      <c r="C326" s="31"/>
      <c r="F326" s="31"/>
      <c r="I326" s="31"/>
      <c r="J326" s="31"/>
    </row>
    <row r="327" spans="3:10" ht="15.75" customHeight="1" x14ac:dyDescent="0.3">
      <c r="C327" s="31"/>
      <c r="F327" s="31"/>
      <c r="I327" s="31"/>
      <c r="J327" s="31"/>
    </row>
    <row r="328" spans="3:10" ht="15.75" customHeight="1" x14ac:dyDescent="0.3">
      <c r="C328" s="31"/>
      <c r="F328" s="31"/>
      <c r="I328" s="31"/>
      <c r="J328" s="31"/>
    </row>
    <row r="329" spans="3:10" ht="15.75" customHeight="1" x14ac:dyDescent="0.3">
      <c r="C329" s="31"/>
      <c r="F329" s="31"/>
      <c r="I329" s="31"/>
      <c r="J329" s="31"/>
    </row>
    <row r="330" spans="3:10" ht="15.75" customHeight="1" x14ac:dyDescent="0.3">
      <c r="C330" s="31"/>
      <c r="F330" s="31"/>
      <c r="I330" s="31"/>
      <c r="J330" s="31"/>
    </row>
    <row r="331" spans="3:10" ht="15.75" customHeight="1" x14ac:dyDescent="0.3">
      <c r="C331" s="31"/>
      <c r="F331" s="31"/>
      <c r="I331" s="31"/>
      <c r="J331" s="31"/>
    </row>
    <row r="332" spans="3:10" ht="15.75" customHeight="1" x14ac:dyDescent="0.3">
      <c r="C332" s="31"/>
      <c r="F332" s="31"/>
      <c r="I332" s="31"/>
      <c r="J332" s="31"/>
    </row>
    <row r="333" spans="3:10" ht="15.75" customHeight="1" x14ac:dyDescent="0.3">
      <c r="C333" s="31"/>
      <c r="F333" s="31"/>
      <c r="I333" s="31"/>
      <c r="J333" s="31"/>
    </row>
    <row r="334" spans="3:10" ht="15.75" customHeight="1" x14ac:dyDescent="0.3">
      <c r="C334" s="31"/>
      <c r="F334" s="31"/>
      <c r="I334" s="31"/>
      <c r="J334" s="31"/>
    </row>
    <row r="335" spans="3:10" ht="15.75" customHeight="1" x14ac:dyDescent="0.3">
      <c r="C335" s="31"/>
      <c r="F335" s="31"/>
      <c r="I335" s="31"/>
      <c r="J335" s="31"/>
    </row>
    <row r="336" spans="3:10" ht="15.75" customHeight="1" x14ac:dyDescent="0.3">
      <c r="C336" s="31"/>
      <c r="F336" s="31"/>
      <c r="I336" s="31"/>
      <c r="J336" s="31"/>
    </row>
    <row r="337" spans="3:10" ht="15.75" customHeight="1" x14ac:dyDescent="0.3">
      <c r="C337" s="31"/>
      <c r="F337" s="31"/>
      <c r="I337" s="31"/>
      <c r="J337" s="31"/>
    </row>
    <row r="338" spans="3:10" ht="15.75" customHeight="1" x14ac:dyDescent="0.3">
      <c r="C338" s="31"/>
      <c r="F338" s="31"/>
      <c r="I338" s="31"/>
      <c r="J338" s="31"/>
    </row>
    <row r="339" spans="3:10" ht="15.75" customHeight="1" x14ac:dyDescent="0.3">
      <c r="C339" s="31"/>
      <c r="F339" s="31"/>
      <c r="I339" s="31"/>
      <c r="J339" s="31"/>
    </row>
    <row r="340" spans="3:10" ht="15.75" customHeight="1" x14ac:dyDescent="0.3">
      <c r="C340" s="31"/>
      <c r="F340" s="31"/>
      <c r="I340" s="31"/>
      <c r="J340" s="31"/>
    </row>
    <row r="341" spans="3:10" ht="15.75" customHeight="1" x14ac:dyDescent="0.3">
      <c r="C341" s="31"/>
      <c r="F341" s="31"/>
      <c r="I341" s="31"/>
      <c r="J341" s="31"/>
    </row>
    <row r="342" spans="3:10" ht="15.75" customHeight="1" x14ac:dyDescent="0.3">
      <c r="C342" s="31"/>
      <c r="F342" s="31"/>
      <c r="I342" s="31"/>
      <c r="J342" s="31"/>
    </row>
    <row r="343" spans="3:10" ht="15.75" customHeight="1" x14ac:dyDescent="0.3">
      <c r="C343" s="31"/>
      <c r="F343" s="31"/>
      <c r="I343" s="31"/>
      <c r="J343" s="31"/>
    </row>
    <row r="344" spans="3:10" ht="15.75" customHeight="1" x14ac:dyDescent="0.3">
      <c r="C344" s="31"/>
      <c r="F344" s="31"/>
      <c r="I344" s="31"/>
      <c r="J344" s="31"/>
    </row>
    <row r="345" spans="3:10" ht="15.75" customHeight="1" x14ac:dyDescent="0.3">
      <c r="C345" s="31"/>
      <c r="F345" s="31"/>
      <c r="I345" s="31"/>
      <c r="J345" s="31"/>
    </row>
    <row r="346" spans="3:10" ht="15.75" customHeight="1" x14ac:dyDescent="0.3">
      <c r="C346" s="31"/>
      <c r="F346" s="31"/>
      <c r="I346" s="31"/>
      <c r="J346" s="31"/>
    </row>
    <row r="347" spans="3:10" ht="15.75" customHeight="1" x14ac:dyDescent="0.3">
      <c r="C347" s="31"/>
      <c r="F347" s="31"/>
      <c r="I347" s="31"/>
      <c r="J347" s="31"/>
    </row>
    <row r="348" spans="3:10" ht="15.75" customHeight="1" x14ac:dyDescent="0.3">
      <c r="C348" s="31"/>
      <c r="F348" s="31"/>
      <c r="I348" s="31"/>
      <c r="J348" s="31"/>
    </row>
    <row r="349" spans="3:10" ht="15.75" customHeight="1" x14ac:dyDescent="0.3">
      <c r="C349" s="31"/>
      <c r="F349" s="31"/>
      <c r="I349" s="31"/>
      <c r="J349" s="31"/>
    </row>
    <row r="350" spans="3:10" ht="15.75" customHeight="1" x14ac:dyDescent="0.3">
      <c r="C350" s="31"/>
      <c r="F350" s="31"/>
      <c r="I350" s="31"/>
      <c r="J350" s="31"/>
    </row>
    <row r="351" spans="3:10" ht="15.75" customHeight="1" x14ac:dyDescent="0.3">
      <c r="C351" s="31"/>
      <c r="F351" s="31"/>
      <c r="I351" s="31"/>
      <c r="J351" s="31"/>
    </row>
    <row r="352" spans="3:10" ht="15.75" customHeight="1" x14ac:dyDescent="0.3">
      <c r="C352" s="31"/>
      <c r="F352" s="31"/>
      <c r="I352" s="31"/>
      <c r="J352" s="31"/>
    </row>
    <row r="353" spans="3:10" ht="15.75" customHeight="1" x14ac:dyDescent="0.3">
      <c r="C353" s="31"/>
      <c r="F353" s="31"/>
      <c r="I353" s="31"/>
      <c r="J353" s="31"/>
    </row>
    <row r="354" spans="3:10" ht="15.75" customHeight="1" x14ac:dyDescent="0.3">
      <c r="C354" s="31"/>
      <c r="F354" s="31"/>
      <c r="I354" s="31"/>
      <c r="J354" s="31"/>
    </row>
    <row r="355" spans="3:10" ht="15.75" customHeight="1" x14ac:dyDescent="0.3">
      <c r="C355" s="31"/>
      <c r="F355" s="31"/>
      <c r="I355" s="31"/>
      <c r="J355" s="31"/>
    </row>
    <row r="356" spans="3:10" ht="15.75" customHeight="1" x14ac:dyDescent="0.3">
      <c r="C356" s="31"/>
      <c r="F356" s="31"/>
      <c r="I356" s="31"/>
      <c r="J356" s="31"/>
    </row>
    <row r="357" spans="3:10" ht="15.75" customHeight="1" x14ac:dyDescent="0.3">
      <c r="C357" s="31"/>
      <c r="F357" s="31"/>
      <c r="I357" s="31"/>
      <c r="J357" s="31"/>
    </row>
    <row r="358" spans="3:10" ht="15.75" customHeight="1" x14ac:dyDescent="0.3">
      <c r="C358" s="31"/>
      <c r="F358" s="31"/>
      <c r="I358" s="31"/>
      <c r="J358" s="31"/>
    </row>
    <row r="359" spans="3:10" ht="15.75" customHeight="1" x14ac:dyDescent="0.3">
      <c r="C359" s="31"/>
      <c r="F359" s="31"/>
      <c r="I359" s="31"/>
      <c r="J359" s="31"/>
    </row>
    <row r="360" spans="3:10" ht="15.75" customHeight="1" x14ac:dyDescent="0.3">
      <c r="C360" s="31"/>
      <c r="F360" s="31"/>
      <c r="I360" s="31"/>
      <c r="J360" s="31"/>
    </row>
    <row r="361" spans="3:10" ht="15.75" customHeight="1" x14ac:dyDescent="0.3">
      <c r="C361" s="31"/>
      <c r="F361" s="31"/>
      <c r="I361" s="31"/>
      <c r="J361" s="31"/>
    </row>
    <row r="362" spans="3:10" ht="15.75" customHeight="1" x14ac:dyDescent="0.3">
      <c r="C362" s="31"/>
      <c r="F362" s="31"/>
      <c r="I362" s="31"/>
      <c r="J362" s="31"/>
    </row>
    <row r="363" spans="3:10" ht="15.75" customHeight="1" x14ac:dyDescent="0.3">
      <c r="C363" s="31"/>
      <c r="F363" s="31"/>
      <c r="I363" s="31"/>
      <c r="J363" s="31"/>
    </row>
    <row r="364" spans="3:10" ht="15.75" customHeight="1" x14ac:dyDescent="0.3">
      <c r="C364" s="31"/>
      <c r="F364" s="31"/>
      <c r="I364" s="31"/>
      <c r="J364" s="31"/>
    </row>
    <row r="365" spans="3:10" ht="15.75" customHeight="1" x14ac:dyDescent="0.3">
      <c r="C365" s="31"/>
      <c r="F365" s="31"/>
      <c r="I365" s="31"/>
      <c r="J365" s="31"/>
    </row>
    <row r="366" spans="3:10" ht="15.75" customHeight="1" x14ac:dyDescent="0.3">
      <c r="C366" s="31"/>
      <c r="F366" s="31"/>
      <c r="I366" s="31"/>
      <c r="J366" s="31"/>
    </row>
    <row r="367" spans="3:10" ht="15.75" customHeight="1" x14ac:dyDescent="0.3">
      <c r="C367" s="31"/>
      <c r="F367" s="31"/>
      <c r="I367" s="31"/>
      <c r="J367" s="31"/>
    </row>
    <row r="368" spans="3:10" ht="15.75" customHeight="1" x14ac:dyDescent="0.3">
      <c r="C368" s="31"/>
      <c r="F368" s="31"/>
      <c r="I368" s="31"/>
      <c r="J368" s="31"/>
    </row>
    <row r="369" spans="3:10" ht="15.75" customHeight="1" x14ac:dyDescent="0.3">
      <c r="C369" s="31"/>
      <c r="F369" s="31"/>
      <c r="I369" s="31"/>
      <c r="J369" s="31"/>
    </row>
    <row r="370" spans="3:10" ht="15.75" customHeight="1" x14ac:dyDescent="0.3">
      <c r="C370" s="31"/>
      <c r="F370" s="31"/>
      <c r="I370" s="31"/>
      <c r="J370" s="31"/>
    </row>
    <row r="371" spans="3:10" ht="15.75" customHeight="1" x14ac:dyDescent="0.3">
      <c r="C371" s="31"/>
      <c r="F371" s="31"/>
      <c r="I371" s="31"/>
      <c r="J371" s="31"/>
    </row>
    <row r="372" spans="3:10" ht="15.75" customHeight="1" x14ac:dyDescent="0.3">
      <c r="C372" s="31"/>
      <c r="F372" s="31"/>
      <c r="I372" s="31"/>
      <c r="J372" s="31"/>
    </row>
    <row r="373" spans="3:10" ht="15.75" customHeight="1" x14ac:dyDescent="0.3">
      <c r="C373" s="31"/>
      <c r="F373" s="31"/>
      <c r="I373" s="31"/>
      <c r="J373" s="31"/>
    </row>
    <row r="374" spans="3:10" ht="15.75" customHeight="1" x14ac:dyDescent="0.3">
      <c r="C374" s="31"/>
      <c r="F374" s="31"/>
      <c r="I374" s="31"/>
      <c r="J374" s="31"/>
    </row>
    <row r="375" spans="3:10" ht="15.75" customHeight="1" x14ac:dyDescent="0.3">
      <c r="C375" s="31"/>
      <c r="F375" s="31"/>
      <c r="I375" s="31"/>
      <c r="J375" s="31"/>
    </row>
    <row r="376" spans="3:10" ht="15.75" customHeight="1" x14ac:dyDescent="0.3">
      <c r="C376" s="31"/>
      <c r="F376" s="31"/>
      <c r="I376" s="31"/>
      <c r="J376" s="31"/>
    </row>
    <row r="377" spans="3:10" ht="15.75" customHeight="1" x14ac:dyDescent="0.3">
      <c r="C377" s="31"/>
      <c r="F377" s="31"/>
      <c r="I377" s="31"/>
      <c r="J377" s="31"/>
    </row>
    <row r="378" spans="3:10" ht="15.75" customHeight="1" x14ac:dyDescent="0.3">
      <c r="C378" s="31"/>
      <c r="F378" s="31"/>
      <c r="I378" s="31"/>
      <c r="J378" s="31"/>
    </row>
    <row r="379" spans="3:10" ht="15.75" customHeight="1" x14ac:dyDescent="0.3">
      <c r="C379" s="31"/>
      <c r="F379" s="31"/>
      <c r="I379" s="31"/>
      <c r="J379" s="31"/>
    </row>
    <row r="380" spans="3:10" ht="15.75" customHeight="1" x14ac:dyDescent="0.3">
      <c r="C380" s="31"/>
      <c r="F380" s="31"/>
      <c r="I380" s="31"/>
      <c r="J380" s="31"/>
    </row>
    <row r="381" spans="3:10" ht="15.75" customHeight="1" x14ac:dyDescent="0.3">
      <c r="C381" s="31"/>
      <c r="F381" s="31"/>
      <c r="I381" s="31"/>
      <c r="J381" s="31"/>
    </row>
    <row r="382" spans="3:10" ht="15.75" customHeight="1" x14ac:dyDescent="0.3">
      <c r="C382" s="31"/>
      <c r="F382" s="31"/>
      <c r="I382" s="31"/>
      <c r="J382" s="31"/>
    </row>
    <row r="383" spans="3:10" ht="15.75" customHeight="1" x14ac:dyDescent="0.3">
      <c r="C383" s="31"/>
      <c r="F383" s="31"/>
      <c r="I383" s="31"/>
      <c r="J383" s="31"/>
    </row>
    <row r="384" spans="3:10" ht="15.75" customHeight="1" x14ac:dyDescent="0.3">
      <c r="C384" s="31"/>
      <c r="F384" s="31"/>
      <c r="I384" s="31"/>
      <c r="J384" s="31"/>
    </row>
    <row r="385" spans="3:10" ht="15.75" customHeight="1" x14ac:dyDescent="0.3">
      <c r="C385" s="31"/>
      <c r="F385" s="31"/>
      <c r="I385" s="31"/>
      <c r="J385" s="31"/>
    </row>
    <row r="386" spans="3:10" ht="15.75" customHeight="1" x14ac:dyDescent="0.3">
      <c r="C386" s="31"/>
      <c r="F386" s="31"/>
      <c r="I386" s="31"/>
      <c r="J386" s="31"/>
    </row>
    <row r="387" spans="3:10" ht="15.75" customHeight="1" x14ac:dyDescent="0.3">
      <c r="C387" s="31"/>
      <c r="F387" s="31"/>
      <c r="I387" s="31"/>
      <c r="J387" s="31"/>
    </row>
    <row r="388" spans="3:10" ht="15.75" customHeight="1" x14ac:dyDescent="0.3">
      <c r="C388" s="31"/>
      <c r="F388" s="31"/>
      <c r="I388" s="31"/>
      <c r="J388" s="31"/>
    </row>
    <row r="389" spans="3:10" ht="15.75" customHeight="1" x14ac:dyDescent="0.3">
      <c r="C389" s="31"/>
      <c r="F389" s="31"/>
      <c r="I389" s="31"/>
      <c r="J389" s="31"/>
    </row>
    <row r="390" spans="3:10" ht="15.75" customHeight="1" x14ac:dyDescent="0.3">
      <c r="C390" s="31"/>
      <c r="F390" s="31"/>
      <c r="I390" s="31"/>
      <c r="J390" s="31"/>
    </row>
    <row r="391" spans="3:10" ht="15.75" customHeight="1" x14ac:dyDescent="0.3">
      <c r="C391" s="31"/>
      <c r="F391" s="31"/>
      <c r="I391" s="31"/>
      <c r="J391" s="31"/>
    </row>
    <row r="392" spans="3:10" ht="15.75" customHeight="1" x14ac:dyDescent="0.3">
      <c r="C392" s="31"/>
      <c r="F392" s="31"/>
      <c r="I392" s="31"/>
      <c r="J392" s="31"/>
    </row>
    <row r="393" spans="3:10" ht="15.75" customHeight="1" x14ac:dyDescent="0.3">
      <c r="C393" s="31"/>
      <c r="F393" s="31"/>
      <c r="I393" s="31"/>
      <c r="J393" s="31"/>
    </row>
    <row r="394" spans="3:10" ht="15.75" customHeight="1" x14ac:dyDescent="0.3">
      <c r="C394" s="31"/>
      <c r="F394" s="31"/>
      <c r="I394" s="31"/>
      <c r="J394" s="31"/>
    </row>
    <row r="395" spans="3:10" ht="15.75" customHeight="1" x14ac:dyDescent="0.3">
      <c r="C395" s="31"/>
      <c r="F395" s="31"/>
      <c r="I395" s="31"/>
      <c r="J395" s="31"/>
    </row>
    <row r="396" spans="3:10" ht="15.75" customHeight="1" x14ac:dyDescent="0.3">
      <c r="C396" s="31"/>
      <c r="F396" s="31"/>
      <c r="I396" s="31"/>
      <c r="J396" s="31"/>
    </row>
    <row r="397" spans="3:10" ht="15.75" customHeight="1" x14ac:dyDescent="0.3">
      <c r="C397" s="31"/>
      <c r="F397" s="31"/>
      <c r="I397" s="31"/>
      <c r="J397" s="31"/>
    </row>
    <row r="398" spans="3:10" ht="15.75" customHeight="1" x14ac:dyDescent="0.3">
      <c r="C398" s="31"/>
      <c r="F398" s="31"/>
      <c r="I398" s="31"/>
      <c r="J398" s="31"/>
    </row>
    <row r="399" spans="3:10" ht="15.75" customHeight="1" x14ac:dyDescent="0.3">
      <c r="C399" s="31"/>
      <c r="F399" s="31"/>
      <c r="I399" s="31"/>
      <c r="J399" s="31"/>
    </row>
    <row r="400" spans="3:10" ht="15.75" customHeight="1" x14ac:dyDescent="0.3">
      <c r="C400" s="31"/>
      <c r="F400" s="31"/>
      <c r="I400" s="31"/>
      <c r="J400" s="31"/>
    </row>
    <row r="401" spans="3:10" ht="15.75" customHeight="1" x14ac:dyDescent="0.3">
      <c r="C401" s="31"/>
      <c r="F401" s="31"/>
      <c r="I401" s="31"/>
      <c r="J401" s="31"/>
    </row>
    <row r="402" spans="3:10" ht="15.75" customHeight="1" x14ac:dyDescent="0.3">
      <c r="C402" s="31"/>
      <c r="F402" s="31"/>
      <c r="I402" s="31"/>
      <c r="J402" s="31"/>
    </row>
    <row r="403" spans="3:10" ht="15.75" customHeight="1" x14ac:dyDescent="0.3">
      <c r="C403" s="31"/>
      <c r="F403" s="31"/>
      <c r="I403" s="31"/>
      <c r="J403" s="31"/>
    </row>
    <row r="404" spans="3:10" ht="15.75" customHeight="1" x14ac:dyDescent="0.3">
      <c r="C404" s="31"/>
      <c r="F404" s="31"/>
      <c r="I404" s="31"/>
      <c r="J404" s="31"/>
    </row>
    <row r="405" spans="3:10" ht="15.75" customHeight="1" x14ac:dyDescent="0.3">
      <c r="C405" s="31"/>
      <c r="F405" s="31"/>
      <c r="I405" s="31"/>
      <c r="J405" s="31"/>
    </row>
    <row r="406" spans="3:10" ht="15.75" customHeight="1" x14ac:dyDescent="0.3">
      <c r="C406" s="31"/>
      <c r="F406" s="31"/>
      <c r="I406" s="31"/>
      <c r="J406" s="31"/>
    </row>
    <row r="407" spans="3:10" ht="15.75" customHeight="1" x14ac:dyDescent="0.3">
      <c r="C407" s="31"/>
      <c r="F407" s="31"/>
      <c r="I407" s="31"/>
      <c r="J407" s="31"/>
    </row>
    <row r="408" spans="3:10" ht="15.75" customHeight="1" x14ac:dyDescent="0.3">
      <c r="C408" s="31"/>
      <c r="F408" s="31"/>
      <c r="I408" s="31"/>
      <c r="J408" s="31"/>
    </row>
    <row r="409" spans="3:10" ht="15.75" customHeight="1" x14ac:dyDescent="0.3">
      <c r="C409" s="31"/>
      <c r="F409" s="31"/>
      <c r="I409" s="31"/>
      <c r="J409" s="31"/>
    </row>
    <row r="410" spans="3:10" ht="15.75" customHeight="1" x14ac:dyDescent="0.3">
      <c r="C410" s="31"/>
      <c r="F410" s="31"/>
      <c r="I410" s="31"/>
      <c r="J410" s="31"/>
    </row>
    <row r="411" spans="3:10" ht="15.75" customHeight="1" x14ac:dyDescent="0.3">
      <c r="C411" s="31"/>
      <c r="F411" s="31"/>
      <c r="I411" s="31"/>
      <c r="J411" s="31"/>
    </row>
    <row r="412" spans="3:10" ht="15.75" customHeight="1" x14ac:dyDescent="0.3">
      <c r="C412" s="31"/>
      <c r="F412" s="31"/>
      <c r="I412" s="31"/>
      <c r="J412" s="31"/>
    </row>
    <row r="413" spans="3:10" ht="15.75" customHeight="1" x14ac:dyDescent="0.3">
      <c r="C413" s="31"/>
      <c r="F413" s="31"/>
      <c r="I413" s="31"/>
      <c r="J413" s="31"/>
    </row>
    <row r="414" spans="3:10" ht="15.75" customHeight="1" x14ac:dyDescent="0.3">
      <c r="C414" s="31"/>
      <c r="F414" s="31"/>
      <c r="I414" s="31"/>
      <c r="J414" s="31"/>
    </row>
    <row r="415" spans="3:10" ht="15.75" customHeight="1" x14ac:dyDescent="0.3">
      <c r="C415" s="31"/>
      <c r="F415" s="31"/>
      <c r="I415" s="31"/>
      <c r="J415" s="31"/>
    </row>
    <row r="416" spans="3:10" ht="15.75" customHeight="1" x14ac:dyDescent="0.3">
      <c r="C416" s="31"/>
      <c r="F416" s="31"/>
      <c r="I416" s="31"/>
      <c r="J416" s="31"/>
    </row>
    <row r="417" spans="3:10" ht="15.75" customHeight="1" x14ac:dyDescent="0.3">
      <c r="C417" s="31"/>
      <c r="F417" s="31"/>
      <c r="I417" s="31"/>
      <c r="J417" s="31"/>
    </row>
    <row r="418" spans="3:10" ht="15.75" customHeight="1" x14ac:dyDescent="0.3">
      <c r="C418" s="31"/>
      <c r="F418" s="31"/>
      <c r="I418" s="31"/>
      <c r="J418" s="31"/>
    </row>
    <row r="419" spans="3:10" ht="15.75" customHeight="1" x14ac:dyDescent="0.3">
      <c r="C419" s="31"/>
      <c r="F419" s="31"/>
      <c r="I419" s="31"/>
      <c r="J419" s="31"/>
    </row>
    <row r="420" spans="3:10" ht="15.75" customHeight="1" x14ac:dyDescent="0.3">
      <c r="C420" s="31"/>
      <c r="F420" s="31"/>
      <c r="I420" s="31"/>
      <c r="J420" s="31"/>
    </row>
    <row r="421" spans="3:10" ht="15.75" customHeight="1" x14ac:dyDescent="0.3">
      <c r="C421" s="31"/>
      <c r="F421" s="31"/>
      <c r="I421" s="31"/>
      <c r="J421" s="31"/>
    </row>
    <row r="422" spans="3:10" ht="15.75" customHeight="1" x14ac:dyDescent="0.3">
      <c r="C422" s="31"/>
      <c r="F422" s="31"/>
      <c r="I422" s="31"/>
      <c r="J422" s="31"/>
    </row>
    <row r="423" spans="3:10" ht="15.75" customHeight="1" x14ac:dyDescent="0.3">
      <c r="C423" s="31"/>
      <c r="F423" s="31"/>
      <c r="I423" s="31"/>
      <c r="J423" s="31"/>
    </row>
    <row r="424" spans="3:10" ht="15.75" customHeight="1" x14ac:dyDescent="0.3">
      <c r="C424" s="31"/>
      <c r="F424" s="31"/>
      <c r="I424" s="31"/>
      <c r="J424" s="31"/>
    </row>
    <row r="425" spans="3:10" ht="15.75" customHeight="1" x14ac:dyDescent="0.3">
      <c r="C425" s="31"/>
      <c r="F425" s="31"/>
      <c r="I425" s="31"/>
      <c r="J425" s="31"/>
    </row>
    <row r="426" spans="3:10" ht="15.75" customHeight="1" x14ac:dyDescent="0.3">
      <c r="C426" s="31"/>
      <c r="F426" s="31"/>
      <c r="I426" s="31"/>
      <c r="J426" s="31"/>
    </row>
    <row r="427" spans="3:10" ht="15.75" customHeight="1" x14ac:dyDescent="0.3">
      <c r="C427" s="31"/>
      <c r="F427" s="31"/>
      <c r="I427" s="31"/>
      <c r="J427" s="31"/>
    </row>
    <row r="428" spans="3:10" ht="15.75" customHeight="1" x14ac:dyDescent="0.3">
      <c r="C428" s="31"/>
      <c r="F428" s="31"/>
      <c r="I428" s="31"/>
      <c r="J428" s="31"/>
    </row>
    <row r="429" spans="3:10" ht="15.75" customHeight="1" x14ac:dyDescent="0.3">
      <c r="C429" s="31"/>
      <c r="F429" s="31"/>
      <c r="I429" s="31"/>
      <c r="J429" s="31"/>
    </row>
    <row r="430" spans="3:10" ht="15.75" customHeight="1" x14ac:dyDescent="0.3">
      <c r="C430" s="31"/>
      <c r="F430" s="31"/>
      <c r="I430" s="31"/>
      <c r="J430" s="31"/>
    </row>
    <row r="431" spans="3:10" ht="15.75" customHeight="1" x14ac:dyDescent="0.3">
      <c r="C431" s="31"/>
      <c r="F431" s="31"/>
      <c r="I431" s="31"/>
      <c r="J431" s="31"/>
    </row>
    <row r="432" spans="3:10" ht="15.75" customHeight="1" x14ac:dyDescent="0.3">
      <c r="C432" s="31"/>
      <c r="F432" s="31"/>
      <c r="I432" s="31"/>
      <c r="J432" s="31"/>
    </row>
    <row r="433" spans="3:10" ht="15.75" customHeight="1" x14ac:dyDescent="0.3">
      <c r="C433" s="31"/>
      <c r="F433" s="31"/>
      <c r="I433" s="31"/>
      <c r="J433" s="31"/>
    </row>
    <row r="434" spans="3:10" ht="15.75" customHeight="1" x14ac:dyDescent="0.3">
      <c r="C434" s="31"/>
      <c r="F434" s="31"/>
      <c r="I434" s="31"/>
      <c r="J434" s="31"/>
    </row>
    <row r="435" spans="3:10" ht="15.75" customHeight="1" x14ac:dyDescent="0.3">
      <c r="C435" s="31"/>
      <c r="F435" s="31"/>
      <c r="I435" s="31"/>
      <c r="J435" s="31"/>
    </row>
    <row r="436" spans="3:10" ht="15.75" customHeight="1" x14ac:dyDescent="0.3">
      <c r="C436" s="31"/>
      <c r="F436" s="31"/>
      <c r="I436" s="31"/>
      <c r="J436" s="31"/>
    </row>
    <row r="437" spans="3:10" ht="15.75" customHeight="1" x14ac:dyDescent="0.3">
      <c r="C437" s="31"/>
      <c r="F437" s="31"/>
      <c r="I437" s="31"/>
      <c r="J437" s="31"/>
    </row>
    <row r="438" spans="3:10" ht="15.75" customHeight="1" x14ac:dyDescent="0.3">
      <c r="C438" s="31"/>
      <c r="F438" s="31"/>
      <c r="I438" s="31"/>
      <c r="J438" s="31"/>
    </row>
    <row r="439" spans="3:10" ht="15.75" customHeight="1" x14ac:dyDescent="0.3">
      <c r="C439" s="31"/>
      <c r="F439" s="31"/>
      <c r="I439" s="31"/>
      <c r="J439" s="31"/>
    </row>
    <row r="440" spans="3:10" ht="15.75" customHeight="1" x14ac:dyDescent="0.3">
      <c r="C440" s="31"/>
      <c r="F440" s="31"/>
      <c r="I440" s="31"/>
      <c r="J440" s="31"/>
    </row>
    <row r="441" spans="3:10" ht="15.75" customHeight="1" x14ac:dyDescent="0.3">
      <c r="C441" s="31"/>
      <c r="F441" s="31"/>
      <c r="I441" s="31"/>
      <c r="J441" s="31"/>
    </row>
    <row r="442" spans="3:10" ht="15.75" customHeight="1" x14ac:dyDescent="0.3">
      <c r="C442" s="31"/>
      <c r="F442" s="31"/>
      <c r="I442" s="31"/>
      <c r="J442" s="31"/>
    </row>
    <row r="443" spans="3:10" ht="15.75" customHeight="1" x14ac:dyDescent="0.3">
      <c r="C443" s="31"/>
      <c r="F443" s="31"/>
      <c r="I443" s="31"/>
      <c r="J443" s="31"/>
    </row>
    <row r="444" spans="3:10" ht="15.75" customHeight="1" x14ac:dyDescent="0.3">
      <c r="C444" s="31"/>
      <c r="F444" s="31"/>
      <c r="I444" s="31"/>
      <c r="J444" s="31"/>
    </row>
    <row r="445" spans="3:10" ht="15.75" customHeight="1" x14ac:dyDescent="0.3">
      <c r="C445" s="31"/>
      <c r="F445" s="31"/>
      <c r="I445" s="31"/>
      <c r="J445" s="31"/>
    </row>
    <row r="446" spans="3:10" ht="15.75" customHeight="1" x14ac:dyDescent="0.3">
      <c r="C446" s="31"/>
      <c r="F446" s="31"/>
      <c r="I446" s="31"/>
      <c r="J446" s="31"/>
    </row>
    <row r="447" spans="3:10" ht="15.75" customHeight="1" x14ac:dyDescent="0.3">
      <c r="C447" s="31"/>
      <c r="F447" s="31"/>
      <c r="I447" s="31"/>
      <c r="J447" s="31"/>
    </row>
    <row r="448" spans="3:10" ht="15.75" customHeight="1" x14ac:dyDescent="0.3">
      <c r="C448" s="31"/>
      <c r="F448" s="31"/>
      <c r="I448" s="31"/>
      <c r="J448" s="31"/>
    </row>
    <row r="449" spans="3:10" ht="15.75" customHeight="1" x14ac:dyDescent="0.3">
      <c r="C449" s="31"/>
      <c r="F449" s="31"/>
      <c r="I449" s="31"/>
      <c r="J449" s="31"/>
    </row>
    <row r="450" spans="3:10" ht="15.75" customHeight="1" x14ac:dyDescent="0.3">
      <c r="C450" s="31"/>
      <c r="F450" s="31"/>
      <c r="I450" s="31"/>
      <c r="J450" s="31"/>
    </row>
    <row r="451" spans="3:10" ht="15.75" customHeight="1" x14ac:dyDescent="0.3">
      <c r="C451" s="31"/>
      <c r="F451" s="31"/>
      <c r="I451" s="31"/>
      <c r="J451" s="31"/>
    </row>
    <row r="452" spans="3:10" ht="15.75" customHeight="1" x14ac:dyDescent="0.3">
      <c r="C452" s="31"/>
      <c r="F452" s="31"/>
      <c r="I452" s="31"/>
      <c r="J452" s="31"/>
    </row>
    <row r="453" spans="3:10" ht="15.75" customHeight="1" x14ac:dyDescent="0.3">
      <c r="C453" s="31"/>
      <c r="F453" s="31"/>
      <c r="I453" s="31"/>
      <c r="J453" s="31"/>
    </row>
    <row r="454" spans="3:10" ht="15.75" customHeight="1" x14ac:dyDescent="0.3">
      <c r="C454" s="31"/>
      <c r="F454" s="31"/>
      <c r="I454" s="31"/>
      <c r="J454" s="31"/>
    </row>
    <row r="455" spans="3:10" ht="15.75" customHeight="1" x14ac:dyDescent="0.3">
      <c r="C455" s="31"/>
      <c r="F455" s="31"/>
      <c r="I455" s="31"/>
      <c r="J455" s="31"/>
    </row>
    <row r="456" spans="3:10" ht="15.75" customHeight="1" x14ac:dyDescent="0.3">
      <c r="C456" s="31"/>
      <c r="F456" s="31"/>
      <c r="I456" s="31"/>
      <c r="J456" s="31"/>
    </row>
    <row r="457" spans="3:10" ht="15.75" customHeight="1" x14ac:dyDescent="0.3">
      <c r="C457" s="31"/>
      <c r="F457" s="31"/>
      <c r="I457" s="31"/>
      <c r="J457" s="31"/>
    </row>
    <row r="458" spans="3:10" ht="15.75" customHeight="1" x14ac:dyDescent="0.3">
      <c r="C458" s="31"/>
      <c r="F458" s="31"/>
      <c r="I458" s="31"/>
      <c r="J458" s="31"/>
    </row>
    <row r="459" spans="3:10" ht="15.75" customHeight="1" x14ac:dyDescent="0.3">
      <c r="C459" s="31"/>
      <c r="F459" s="31"/>
      <c r="I459" s="31"/>
      <c r="J459" s="31"/>
    </row>
    <row r="460" spans="3:10" ht="15.75" customHeight="1" x14ac:dyDescent="0.3">
      <c r="C460" s="31"/>
      <c r="F460" s="31"/>
      <c r="I460" s="31"/>
      <c r="J460" s="31"/>
    </row>
    <row r="461" spans="3:10" ht="15.75" customHeight="1" x14ac:dyDescent="0.3">
      <c r="C461" s="31"/>
      <c r="F461" s="31"/>
      <c r="I461" s="31"/>
      <c r="J461" s="31"/>
    </row>
    <row r="462" spans="3:10" ht="15.75" customHeight="1" x14ac:dyDescent="0.3">
      <c r="C462" s="31"/>
      <c r="F462" s="31"/>
      <c r="I462" s="31"/>
      <c r="J462" s="31"/>
    </row>
    <row r="463" spans="3:10" ht="15.75" customHeight="1" x14ac:dyDescent="0.3">
      <c r="C463" s="31"/>
      <c r="F463" s="31"/>
      <c r="I463" s="31"/>
      <c r="J463" s="31"/>
    </row>
    <row r="464" spans="3:10" ht="15.75" customHeight="1" x14ac:dyDescent="0.3">
      <c r="C464" s="31"/>
      <c r="F464" s="31"/>
      <c r="I464" s="31"/>
      <c r="J464" s="31"/>
    </row>
    <row r="465" spans="3:10" ht="15.75" customHeight="1" x14ac:dyDescent="0.3">
      <c r="C465" s="31"/>
      <c r="F465" s="31"/>
      <c r="I465" s="31"/>
      <c r="J465" s="31"/>
    </row>
    <row r="466" spans="3:10" ht="15.75" customHeight="1" x14ac:dyDescent="0.3">
      <c r="C466" s="31"/>
      <c r="F466" s="31"/>
      <c r="I466" s="31"/>
      <c r="J466" s="31"/>
    </row>
    <row r="467" spans="3:10" ht="15.75" customHeight="1" x14ac:dyDescent="0.3">
      <c r="C467" s="31"/>
      <c r="F467" s="31"/>
      <c r="I467" s="31"/>
      <c r="J467" s="31"/>
    </row>
    <row r="468" spans="3:10" ht="15.75" customHeight="1" x14ac:dyDescent="0.3">
      <c r="C468" s="31"/>
      <c r="F468" s="31"/>
      <c r="I468" s="31"/>
      <c r="J468" s="31"/>
    </row>
    <row r="469" spans="3:10" ht="15.75" customHeight="1" x14ac:dyDescent="0.3">
      <c r="C469" s="31"/>
      <c r="F469" s="31"/>
      <c r="I469" s="31"/>
      <c r="J469" s="31"/>
    </row>
    <row r="470" spans="3:10" ht="15.75" customHeight="1" x14ac:dyDescent="0.3">
      <c r="C470" s="31"/>
      <c r="F470" s="31"/>
      <c r="I470" s="31"/>
      <c r="J470" s="31"/>
    </row>
    <row r="471" spans="3:10" ht="15.75" customHeight="1" x14ac:dyDescent="0.3">
      <c r="C471" s="31"/>
      <c r="F471" s="31"/>
      <c r="I471" s="31"/>
      <c r="J471" s="31"/>
    </row>
    <row r="472" spans="3:10" ht="15.75" customHeight="1" x14ac:dyDescent="0.3">
      <c r="C472" s="31"/>
      <c r="F472" s="31"/>
      <c r="I472" s="31"/>
      <c r="J472" s="31"/>
    </row>
    <row r="473" spans="3:10" ht="15.75" customHeight="1" x14ac:dyDescent="0.3">
      <c r="C473" s="31"/>
      <c r="F473" s="31"/>
      <c r="I473" s="31"/>
      <c r="J473" s="31"/>
    </row>
    <row r="474" spans="3:10" ht="15.75" customHeight="1" x14ac:dyDescent="0.3">
      <c r="C474" s="31"/>
      <c r="F474" s="31"/>
      <c r="I474" s="31"/>
      <c r="J474" s="31"/>
    </row>
    <row r="475" spans="3:10" ht="15.75" customHeight="1" x14ac:dyDescent="0.3">
      <c r="C475" s="31"/>
      <c r="F475" s="31"/>
      <c r="I475" s="31"/>
      <c r="J475" s="31"/>
    </row>
    <row r="476" spans="3:10" ht="15.75" customHeight="1" x14ac:dyDescent="0.3">
      <c r="C476" s="31"/>
      <c r="F476" s="31"/>
      <c r="I476" s="31"/>
      <c r="J476" s="31"/>
    </row>
    <row r="477" spans="3:10" ht="15.75" customHeight="1" x14ac:dyDescent="0.3">
      <c r="C477" s="31"/>
      <c r="F477" s="31"/>
      <c r="I477" s="31"/>
      <c r="J477" s="31"/>
    </row>
    <row r="478" spans="3:10" ht="15.75" customHeight="1" x14ac:dyDescent="0.3">
      <c r="C478" s="31"/>
      <c r="F478" s="31"/>
      <c r="I478" s="31"/>
      <c r="J478" s="31"/>
    </row>
    <row r="479" spans="3:10" ht="15.75" customHeight="1" x14ac:dyDescent="0.3">
      <c r="C479" s="31"/>
      <c r="F479" s="31"/>
      <c r="I479" s="31"/>
      <c r="J479" s="31"/>
    </row>
    <row r="480" spans="3:10" ht="15.75" customHeight="1" x14ac:dyDescent="0.3">
      <c r="C480" s="31"/>
      <c r="F480" s="31"/>
      <c r="I480" s="31"/>
      <c r="J480" s="31"/>
    </row>
    <row r="481" spans="3:10" ht="15.75" customHeight="1" x14ac:dyDescent="0.3">
      <c r="C481" s="31"/>
      <c r="F481" s="31"/>
      <c r="I481" s="31"/>
      <c r="J481" s="31"/>
    </row>
    <row r="482" spans="3:10" ht="15.75" customHeight="1" x14ac:dyDescent="0.3">
      <c r="C482" s="31"/>
      <c r="F482" s="31"/>
      <c r="I482" s="31"/>
      <c r="J482" s="31"/>
    </row>
    <row r="483" spans="3:10" ht="15.75" customHeight="1" x14ac:dyDescent="0.3">
      <c r="C483" s="31"/>
      <c r="F483" s="31"/>
      <c r="I483" s="31"/>
      <c r="J483" s="31"/>
    </row>
    <row r="484" spans="3:10" ht="15.75" customHeight="1" x14ac:dyDescent="0.3">
      <c r="C484" s="31"/>
      <c r="F484" s="31"/>
      <c r="I484" s="31"/>
      <c r="J484" s="31"/>
    </row>
    <row r="485" spans="3:10" ht="15.75" customHeight="1" x14ac:dyDescent="0.3">
      <c r="C485" s="31"/>
      <c r="F485" s="31"/>
      <c r="I485" s="31"/>
      <c r="J485" s="31"/>
    </row>
    <row r="486" spans="3:10" ht="15.75" customHeight="1" x14ac:dyDescent="0.3">
      <c r="C486" s="31"/>
      <c r="F486" s="31"/>
      <c r="I486" s="31"/>
      <c r="J486" s="31"/>
    </row>
    <row r="487" spans="3:10" ht="15.75" customHeight="1" x14ac:dyDescent="0.3">
      <c r="C487" s="31"/>
      <c r="F487" s="31"/>
      <c r="I487" s="31"/>
      <c r="J487" s="31"/>
    </row>
    <row r="488" spans="3:10" ht="15.75" customHeight="1" x14ac:dyDescent="0.3">
      <c r="C488" s="31"/>
      <c r="F488" s="31"/>
      <c r="I488" s="31"/>
      <c r="J488" s="31"/>
    </row>
    <row r="489" spans="3:10" ht="15.75" customHeight="1" x14ac:dyDescent="0.3">
      <c r="C489" s="31"/>
      <c r="F489" s="31"/>
      <c r="I489" s="31"/>
      <c r="J489" s="31"/>
    </row>
    <row r="490" spans="3:10" ht="15.75" customHeight="1" x14ac:dyDescent="0.3">
      <c r="C490" s="31"/>
      <c r="F490" s="31"/>
      <c r="I490" s="31"/>
      <c r="J490" s="31"/>
    </row>
    <row r="491" spans="3:10" ht="15.75" customHeight="1" x14ac:dyDescent="0.3">
      <c r="C491" s="31"/>
      <c r="F491" s="31"/>
      <c r="I491" s="31"/>
      <c r="J491" s="31"/>
    </row>
    <row r="492" spans="3:10" ht="15.75" customHeight="1" x14ac:dyDescent="0.3">
      <c r="C492" s="31"/>
      <c r="F492" s="31"/>
      <c r="I492" s="31"/>
      <c r="J492" s="31"/>
    </row>
    <row r="493" spans="3:10" ht="15.75" customHeight="1" x14ac:dyDescent="0.3">
      <c r="C493" s="31"/>
      <c r="F493" s="31"/>
      <c r="I493" s="31"/>
      <c r="J493" s="31"/>
    </row>
    <row r="494" spans="3:10" ht="15.75" customHeight="1" x14ac:dyDescent="0.3">
      <c r="C494" s="31"/>
      <c r="F494" s="31"/>
      <c r="I494" s="31"/>
      <c r="J494" s="31"/>
    </row>
    <row r="495" spans="3:10" ht="15.75" customHeight="1" x14ac:dyDescent="0.3">
      <c r="C495" s="31"/>
      <c r="F495" s="31"/>
      <c r="I495" s="31"/>
      <c r="J495" s="31"/>
    </row>
    <row r="496" spans="3:10" ht="15.75" customHeight="1" x14ac:dyDescent="0.3">
      <c r="C496" s="31"/>
      <c r="F496" s="31"/>
      <c r="I496" s="31"/>
      <c r="J496" s="31"/>
    </row>
    <row r="497" spans="3:10" ht="15.75" customHeight="1" x14ac:dyDescent="0.3">
      <c r="C497" s="31"/>
      <c r="F497" s="31"/>
      <c r="I497" s="31"/>
      <c r="J497" s="31"/>
    </row>
    <row r="498" spans="3:10" ht="15.75" customHeight="1" x14ac:dyDescent="0.3">
      <c r="C498" s="31"/>
      <c r="F498" s="31"/>
      <c r="I498" s="31"/>
      <c r="J498" s="31"/>
    </row>
    <row r="499" spans="3:10" ht="15.75" customHeight="1" x14ac:dyDescent="0.3">
      <c r="C499" s="31"/>
      <c r="F499" s="31"/>
      <c r="I499" s="31"/>
      <c r="J499" s="31"/>
    </row>
    <row r="500" spans="3:10" ht="15.75" customHeight="1" x14ac:dyDescent="0.3">
      <c r="C500" s="31"/>
      <c r="F500" s="31"/>
      <c r="I500" s="31"/>
      <c r="J500" s="31"/>
    </row>
    <row r="501" spans="3:10" ht="15.75" customHeight="1" x14ac:dyDescent="0.3">
      <c r="C501" s="31"/>
      <c r="F501" s="31"/>
      <c r="I501" s="31"/>
      <c r="J501" s="31"/>
    </row>
    <row r="502" spans="3:10" ht="15.75" customHeight="1" x14ac:dyDescent="0.3">
      <c r="C502" s="31"/>
      <c r="F502" s="31"/>
      <c r="I502" s="31"/>
      <c r="J502" s="31"/>
    </row>
    <row r="503" spans="3:10" ht="15.75" customHeight="1" x14ac:dyDescent="0.3">
      <c r="C503" s="31"/>
      <c r="F503" s="31"/>
      <c r="I503" s="31"/>
      <c r="J503" s="31"/>
    </row>
    <row r="504" spans="3:10" ht="15.75" customHeight="1" x14ac:dyDescent="0.3">
      <c r="C504" s="31"/>
      <c r="F504" s="31"/>
      <c r="I504" s="31"/>
      <c r="J504" s="31"/>
    </row>
    <row r="505" spans="3:10" ht="15.75" customHeight="1" x14ac:dyDescent="0.3">
      <c r="C505" s="31"/>
      <c r="F505" s="31"/>
      <c r="I505" s="31"/>
      <c r="J505" s="31"/>
    </row>
    <row r="506" spans="3:10" ht="15.75" customHeight="1" x14ac:dyDescent="0.3">
      <c r="C506" s="31"/>
      <c r="F506" s="31"/>
      <c r="I506" s="31"/>
      <c r="J506" s="31"/>
    </row>
    <row r="507" spans="3:10" ht="15.75" customHeight="1" x14ac:dyDescent="0.3">
      <c r="C507" s="31"/>
      <c r="F507" s="31"/>
      <c r="I507" s="31"/>
      <c r="J507" s="31"/>
    </row>
    <row r="508" spans="3:10" ht="15.75" customHeight="1" x14ac:dyDescent="0.3">
      <c r="C508" s="31"/>
      <c r="F508" s="31"/>
      <c r="I508" s="31"/>
      <c r="J508" s="31"/>
    </row>
    <row r="509" spans="3:10" ht="15.75" customHeight="1" x14ac:dyDescent="0.3">
      <c r="C509" s="31"/>
      <c r="F509" s="31"/>
      <c r="I509" s="31"/>
      <c r="J509" s="31"/>
    </row>
    <row r="510" spans="3:10" ht="15.75" customHeight="1" x14ac:dyDescent="0.3">
      <c r="C510" s="31"/>
      <c r="F510" s="31"/>
      <c r="I510" s="31"/>
      <c r="J510" s="31"/>
    </row>
    <row r="511" spans="3:10" ht="15.75" customHeight="1" x14ac:dyDescent="0.3">
      <c r="C511" s="31"/>
      <c r="F511" s="31"/>
      <c r="I511" s="31"/>
      <c r="J511" s="31"/>
    </row>
    <row r="512" spans="3:10" ht="15.75" customHeight="1" x14ac:dyDescent="0.3">
      <c r="C512" s="31"/>
      <c r="F512" s="31"/>
      <c r="I512" s="31"/>
      <c r="J512" s="31"/>
    </row>
    <row r="513" spans="3:10" ht="15.75" customHeight="1" x14ac:dyDescent="0.3">
      <c r="C513" s="31"/>
      <c r="F513" s="31"/>
      <c r="I513" s="31"/>
      <c r="J513" s="31"/>
    </row>
    <row r="514" spans="3:10" ht="15.75" customHeight="1" x14ac:dyDescent="0.3">
      <c r="C514" s="31"/>
      <c r="F514" s="31"/>
      <c r="I514" s="31"/>
      <c r="J514" s="31"/>
    </row>
    <row r="515" spans="3:10" ht="15.75" customHeight="1" x14ac:dyDescent="0.3">
      <c r="C515" s="31"/>
      <c r="F515" s="31"/>
      <c r="I515" s="31"/>
      <c r="J515" s="31"/>
    </row>
    <row r="516" spans="3:10" ht="15.75" customHeight="1" x14ac:dyDescent="0.3">
      <c r="C516" s="31"/>
      <c r="F516" s="31"/>
      <c r="I516" s="31"/>
      <c r="J516" s="31"/>
    </row>
    <row r="517" spans="3:10" ht="15.75" customHeight="1" x14ac:dyDescent="0.3">
      <c r="C517" s="31"/>
      <c r="F517" s="31"/>
      <c r="I517" s="31"/>
      <c r="J517" s="31"/>
    </row>
    <row r="518" spans="3:10" ht="15.75" customHeight="1" x14ac:dyDescent="0.3">
      <c r="C518" s="31"/>
      <c r="F518" s="31"/>
      <c r="I518" s="31"/>
      <c r="J518" s="31"/>
    </row>
    <row r="519" spans="3:10" ht="15.75" customHeight="1" x14ac:dyDescent="0.3">
      <c r="C519" s="31"/>
      <c r="F519" s="31"/>
      <c r="I519" s="31"/>
      <c r="J519" s="31"/>
    </row>
    <row r="520" spans="3:10" ht="15.75" customHeight="1" x14ac:dyDescent="0.3">
      <c r="C520" s="31"/>
      <c r="F520" s="31"/>
      <c r="I520" s="31"/>
      <c r="J520" s="31"/>
    </row>
    <row r="521" spans="3:10" ht="15.75" customHeight="1" x14ac:dyDescent="0.3">
      <c r="C521" s="31"/>
      <c r="F521" s="31"/>
      <c r="I521" s="31"/>
      <c r="J521" s="31"/>
    </row>
    <row r="522" spans="3:10" ht="15.75" customHeight="1" x14ac:dyDescent="0.3">
      <c r="C522" s="31"/>
      <c r="F522" s="31"/>
      <c r="I522" s="31"/>
      <c r="J522" s="31"/>
    </row>
    <row r="523" spans="3:10" ht="15.75" customHeight="1" x14ac:dyDescent="0.3">
      <c r="C523" s="31"/>
      <c r="F523" s="31"/>
      <c r="I523" s="31"/>
      <c r="J523" s="31"/>
    </row>
    <row r="524" spans="3:10" ht="15.75" customHeight="1" x14ac:dyDescent="0.3">
      <c r="C524" s="31"/>
      <c r="F524" s="31"/>
      <c r="I524" s="31"/>
      <c r="J524" s="31"/>
    </row>
    <row r="525" spans="3:10" ht="15.75" customHeight="1" x14ac:dyDescent="0.3">
      <c r="C525" s="31"/>
      <c r="F525" s="31"/>
      <c r="I525" s="31"/>
      <c r="J525" s="31"/>
    </row>
    <row r="526" spans="3:10" ht="15.75" customHeight="1" x14ac:dyDescent="0.3">
      <c r="C526" s="31"/>
      <c r="F526" s="31"/>
      <c r="I526" s="31"/>
      <c r="J526" s="31"/>
    </row>
    <row r="527" spans="3:10" ht="15.75" customHeight="1" x14ac:dyDescent="0.3">
      <c r="C527" s="31"/>
      <c r="F527" s="31"/>
      <c r="I527" s="31"/>
      <c r="J527" s="31"/>
    </row>
    <row r="528" spans="3:10" ht="15.75" customHeight="1" x14ac:dyDescent="0.3">
      <c r="C528" s="31"/>
      <c r="F528" s="31"/>
      <c r="I528" s="31"/>
      <c r="J528" s="31"/>
    </row>
    <row r="529" spans="3:10" ht="15.75" customHeight="1" x14ac:dyDescent="0.3">
      <c r="C529" s="31"/>
      <c r="F529" s="31"/>
      <c r="I529" s="31"/>
      <c r="J529" s="31"/>
    </row>
    <row r="530" spans="3:10" ht="15.75" customHeight="1" x14ac:dyDescent="0.3">
      <c r="C530" s="31"/>
      <c r="F530" s="31"/>
      <c r="I530" s="31"/>
      <c r="J530" s="31"/>
    </row>
    <row r="531" spans="3:10" ht="15.75" customHeight="1" x14ac:dyDescent="0.3">
      <c r="C531" s="31"/>
      <c r="F531" s="31"/>
      <c r="I531" s="31"/>
      <c r="J531" s="31"/>
    </row>
    <row r="532" spans="3:10" ht="15.75" customHeight="1" x14ac:dyDescent="0.3">
      <c r="C532" s="31"/>
      <c r="F532" s="31"/>
      <c r="I532" s="31"/>
      <c r="J532" s="31"/>
    </row>
    <row r="533" spans="3:10" ht="15.75" customHeight="1" x14ac:dyDescent="0.3">
      <c r="C533" s="31"/>
      <c r="F533" s="31"/>
      <c r="I533" s="31"/>
      <c r="J533" s="31"/>
    </row>
    <row r="534" spans="3:10" ht="15.75" customHeight="1" x14ac:dyDescent="0.3">
      <c r="C534" s="31"/>
      <c r="F534" s="31"/>
      <c r="I534" s="31"/>
      <c r="J534" s="31"/>
    </row>
    <row r="535" spans="3:10" ht="15.75" customHeight="1" x14ac:dyDescent="0.3">
      <c r="C535" s="31"/>
      <c r="F535" s="31"/>
      <c r="I535" s="31"/>
      <c r="J535" s="31"/>
    </row>
    <row r="536" spans="3:10" ht="15.75" customHeight="1" x14ac:dyDescent="0.3">
      <c r="C536" s="31"/>
      <c r="F536" s="31"/>
      <c r="I536" s="31"/>
      <c r="J536" s="31"/>
    </row>
    <row r="537" spans="3:10" ht="15.75" customHeight="1" x14ac:dyDescent="0.3">
      <c r="C537" s="31"/>
      <c r="F537" s="31"/>
      <c r="I537" s="31"/>
      <c r="J537" s="31"/>
    </row>
    <row r="538" spans="3:10" ht="15.75" customHeight="1" x14ac:dyDescent="0.3">
      <c r="C538" s="31"/>
      <c r="F538" s="31"/>
      <c r="I538" s="31"/>
      <c r="J538" s="31"/>
    </row>
    <row r="539" spans="3:10" ht="15.75" customHeight="1" x14ac:dyDescent="0.3">
      <c r="C539" s="31"/>
      <c r="F539" s="31"/>
      <c r="I539" s="31"/>
      <c r="J539" s="31"/>
    </row>
    <row r="540" spans="3:10" ht="15.75" customHeight="1" x14ac:dyDescent="0.3">
      <c r="C540" s="31"/>
      <c r="F540" s="31"/>
      <c r="I540" s="31"/>
      <c r="J540" s="31"/>
    </row>
    <row r="541" spans="3:10" ht="15.75" customHeight="1" x14ac:dyDescent="0.3">
      <c r="C541" s="31"/>
      <c r="F541" s="31"/>
      <c r="I541" s="31"/>
      <c r="J541" s="31"/>
    </row>
    <row r="542" spans="3:10" ht="15.75" customHeight="1" x14ac:dyDescent="0.3">
      <c r="C542" s="31"/>
      <c r="F542" s="31"/>
      <c r="I542" s="31"/>
      <c r="J542" s="31"/>
    </row>
    <row r="543" spans="3:10" ht="15.75" customHeight="1" x14ac:dyDescent="0.3">
      <c r="C543" s="31"/>
      <c r="F543" s="31"/>
      <c r="I543" s="31"/>
      <c r="J543" s="31"/>
    </row>
    <row r="544" spans="3:10" ht="15.75" customHeight="1" x14ac:dyDescent="0.3">
      <c r="C544" s="31"/>
      <c r="F544" s="31"/>
      <c r="I544" s="31"/>
      <c r="J544" s="31"/>
    </row>
    <row r="545" spans="3:10" ht="15.75" customHeight="1" x14ac:dyDescent="0.3">
      <c r="C545" s="31"/>
      <c r="F545" s="31"/>
      <c r="I545" s="31"/>
      <c r="J545" s="31"/>
    </row>
    <row r="546" spans="3:10" ht="15.75" customHeight="1" x14ac:dyDescent="0.3">
      <c r="C546" s="31"/>
      <c r="F546" s="31"/>
      <c r="I546" s="31"/>
      <c r="J546" s="31"/>
    </row>
    <row r="547" spans="3:10" ht="15.75" customHeight="1" x14ac:dyDescent="0.3">
      <c r="C547" s="31"/>
      <c r="F547" s="31"/>
      <c r="I547" s="31"/>
      <c r="J547" s="31"/>
    </row>
    <row r="548" spans="3:10" ht="15.75" customHeight="1" x14ac:dyDescent="0.3">
      <c r="C548" s="31"/>
      <c r="F548" s="31"/>
      <c r="I548" s="31"/>
      <c r="J548" s="31"/>
    </row>
    <row r="549" spans="3:10" ht="15.75" customHeight="1" x14ac:dyDescent="0.3">
      <c r="C549" s="31"/>
      <c r="F549" s="31"/>
      <c r="I549" s="31"/>
      <c r="J549" s="31"/>
    </row>
    <row r="550" spans="3:10" ht="15.75" customHeight="1" x14ac:dyDescent="0.3">
      <c r="C550" s="31"/>
      <c r="F550" s="31"/>
      <c r="I550" s="31"/>
      <c r="J550" s="31"/>
    </row>
    <row r="551" spans="3:10" ht="15.75" customHeight="1" x14ac:dyDescent="0.3">
      <c r="C551" s="31"/>
      <c r="F551" s="31"/>
      <c r="I551" s="31"/>
      <c r="J551" s="31"/>
    </row>
    <row r="552" spans="3:10" ht="15.75" customHeight="1" x14ac:dyDescent="0.3">
      <c r="C552" s="31"/>
      <c r="F552" s="31"/>
      <c r="I552" s="31"/>
      <c r="J552" s="31"/>
    </row>
    <row r="553" spans="3:10" ht="15.75" customHeight="1" x14ac:dyDescent="0.3">
      <c r="C553" s="31"/>
      <c r="F553" s="31"/>
      <c r="I553" s="31"/>
      <c r="J553" s="31"/>
    </row>
    <row r="554" spans="3:10" ht="15.75" customHeight="1" x14ac:dyDescent="0.3">
      <c r="C554" s="31"/>
      <c r="F554" s="31"/>
      <c r="I554" s="31"/>
      <c r="J554" s="31"/>
    </row>
    <row r="555" spans="3:10" ht="15.75" customHeight="1" x14ac:dyDescent="0.3">
      <c r="C555" s="31"/>
      <c r="F555" s="31"/>
      <c r="I555" s="31"/>
      <c r="J555" s="31"/>
    </row>
    <row r="556" spans="3:10" ht="15.75" customHeight="1" x14ac:dyDescent="0.3">
      <c r="C556" s="31"/>
      <c r="F556" s="31"/>
      <c r="I556" s="31"/>
      <c r="J556" s="31"/>
    </row>
    <row r="557" spans="3:10" ht="15.75" customHeight="1" x14ac:dyDescent="0.3">
      <c r="C557" s="31"/>
      <c r="F557" s="31"/>
      <c r="I557" s="31"/>
      <c r="J557" s="31"/>
    </row>
    <row r="558" spans="3:10" ht="15.75" customHeight="1" x14ac:dyDescent="0.3">
      <c r="C558" s="31"/>
      <c r="F558" s="31"/>
      <c r="I558" s="31"/>
      <c r="J558" s="31"/>
    </row>
    <row r="559" spans="3:10" ht="15.75" customHeight="1" x14ac:dyDescent="0.3">
      <c r="C559" s="31"/>
      <c r="F559" s="31"/>
      <c r="I559" s="31"/>
      <c r="J559" s="31"/>
    </row>
    <row r="560" spans="3:10" ht="15.75" customHeight="1" x14ac:dyDescent="0.3">
      <c r="C560" s="31"/>
      <c r="F560" s="31"/>
      <c r="I560" s="31"/>
      <c r="J560" s="31"/>
    </row>
    <row r="561" spans="3:10" ht="15.75" customHeight="1" x14ac:dyDescent="0.3">
      <c r="C561" s="31"/>
      <c r="F561" s="31"/>
      <c r="I561" s="31"/>
      <c r="J561" s="31"/>
    </row>
    <row r="562" spans="3:10" ht="15.75" customHeight="1" x14ac:dyDescent="0.3">
      <c r="C562" s="31"/>
      <c r="F562" s="31"/>
      <c r="I562" s="31"/>
      <c r="J562" s="31"/>
    </row>
    <row r="563" spans="3:10" ht="15.75" customHeight="1" x14ac:dyDescent="0.3">
      <c r="C563" s="31"/>
      <c r="F563" s="31"/>
      <c r="I563" s="31"/>
      <c r="J563" s="31"/>
    </row>
    <row r="564" spans="3:10" ht="15.75" customHeight="1" x14ac:dyDescent="0.3">
      <c r="C564" s="31"/>
      <c r="F564" s="31"/>
      <c r="I564" s="31"/>
      <c r="J564" s="31"/>
    </row>
    <row r="565" spans="3:10" ht="15.75" customHeight="1" x14ac:dyDescent="0.3">
      <c r="C565" s="31"/>
      <c r="F565" s="31"/>
      <c r="I565" s="31"/>
      <c r="J565" s="31"/>
    </row>
    <row r="566" spans="3:10" ht="15.75" customHeight="1" x14ac:dyDescent="0.3">
      <c r="C566" s="31"/>
      <c r="F566" s="31"/>
      <c r="I566" s="31"/>
      <c r="J566" s="31"/>
    </row>
    <row r="567" spans="3:10" ht="15.75" customHeight="1" x14ac:dyDescent="0.3">
      <c r="C567" s="31"/>
      <c r="F567" s="31"/>
      <c r="I567" s="31"/>
      <c r="J567" s="31"/>
    </row>
    <row r="568" spans="3:10" ht="15.75" customHeight="1" x14ac:dyDescent="0.3">
      <c r="C568" s="31"/>
      <c r="F568" s="31"/>
      <c r="I568" s="31"/>
      <c r="J568" s="31"/>
    </row>
    <row r="569" spans="3:10" ht="15.75" customHeight="1" x14ac:dyDescent="0.3">
      <c r="C569" s="31"/>
      <c r="F569" s="31"/>
      <c r="I569" s="31"/>
      <c r="J569" s="31"/>
    </row>
    <row r="570" spans="3:10" ht="15.75" customHeight="1" x14ac:dyDescent="0.3">
      <c r="C570" s="31"/>
      <c r="F570" s="31"/>
      <c r="I570" s="31"/>
      <c r="J570" s="31"/>
    </row>
    <row r="571" spans="3:10" ht="15.75" customHeight="1" x14ac:dyDescent="0.3">
      <c r="C571" s="31"/>
      <c r="F571" s="31"/>
      <c r="I571" s="31"/>
      <c r="J571" s="31"/>
    </row>
    <row r="572" spans="3:10" ht="15.75" customHeight="1" x14ac:dyDescent="0.3">
      <c r="C572" s="31"/>
      <c r="F572" s="31"/>
      <c r="I572" s="31"/>
      <c r="J572" s="31"/>
    </row>
    <row r="573" spans="3:10" ht="15.75" customHeight="1" x14ac:dyDescent="0.3">
      <c r="C573" s="31"/>
      <c r="F573" s="31"/>
      <c r="I573" s="31"/>
      <c r="J573" s="31"/>
    </row>
    <row r="574" spans="3:10" ht="15.75" customHeight="1" x14ac:dyDescent="0.3">
      <c r="C574" s="31"/>
      <c r="F574" s="31"/>
      <c r="I574" s="31"/>
      <c r="J574" s="31"/>
    </row>
    <row r="575" spans="3:10" ht="15.75" customHeight="1" x14ac:dyDescent="0.3">
      <c r="C575" s="31"/>
      <c r="F575" s="31"/>
      <c r="I575" s="31"/>
      <c r="J575" s="31"/>
    </row>
    <row r="576" spans="3:10" ht="15.75" customHeight="1" x14ac:dyDescent="0.3">
      <c r="C576" s="31"/>
      <c r="F576" s="31"/>
      <c r="I576" s="31"/>
      <c r="J576" s="31"/>
    </row>
    <row r="577" spans="3:10" ht="15.75" customHeight="1" x14ac:dyDescent="0.3">
      <c r="C577" s="31"/>
      <c r="F577" s="31"/>
      <c r="I577" s="31"/>
      <c r="J577" s="31"/>
    </row>
    <row r="578" spans="3:10" ht="15.75" customHeight="1" x14ac:dyDescent="0.3">
      <c r="C578" s="31"/>
      <c r="F578" s="31"/>
      <c r="I578" s="31"/>
      <c r="J578" s="31"/>
    </row>
    <row r="579" spans="3:10" ht="15.75" customHeight="1" x14ac:dyDescent="0.3">
      <c r="C579" s="31"/>
      <c r="F579" s="31"/>
      <c r="I579" s="31"/>
      <c r="J579" s="31"/>
    </row>
    <row r="580" spans="3:10" ht="15.75" customHeight="1" x14ac:dyDescent="0.3">
      <c r="C580" s="31"/>
      <c r="F580" s="31"/>
      <c r="I580" s="31"/>
      <c r="J580" s="31"/>
    </row>
    <row r="581" spans="3:10" ht="15.75" customHeight="1" x14ac:dyDescent="0.3">
      <c r="C581" s="31"/>
      <c r="F581" s="31"/>
      <c r="I581" s="31"/>
      <c r="J581" s="31"/>
    </row>
    <row r="582" spans="3:10" ht="15.75" customHeight="1" x14ac:dyDescent="0.3">
      <c r="C582" s="31"/>
      <c r="F582" s="31"/>
      <c r="I582" s="31"/>
      <c r="J582" s="31"/>
    </row>
    <row r="583" spans="3:10" ht="15.75" customHeight="1" x14ac:dyDescent="0.3">
      <c r="C583" s="31"/>
      <c r="F583" s="31"/>
      <c r="I583" s="31"/>
      <c r="J583" s="31"/>
    </row>
    <row r="584" spans="3:10" ht="15.75" customHeight="1" x14ac:dyDescent="0.3">
      <c r="C584" s="31"/>
      <c r="F584" s="31"/>
      <c r="I584" s="31"/>
      <c r="J584" s="31"/>
    </row>
    <row r="585" spans="3:10" ht="15.75" customHeight="1" x14ac:dyDescent="0.3">
      <c r="C585" s="31"/>
      <c r="F585" s="31"/>
      <c r="I585" s="31"/>
      <c r="J585" s="31"/>
    </row>
    <row r="586" spans="3:10" ht="15.75" customHeight="1" x14ac:dyDescent="0.3">
      <c r="C586" s="31"/>
      <c r="F586" s="31"/>
      <c r="I586" s="31"/>
      <c r="J586" s="31"/>
    </row>
    <row r="587" spans="3:10" ht="15.75" customHeight="1" x14ac:dyDescent="0.3">
      <c r="C587" s="31"/>
      <c r="F587" s="31"/>
      <c r="I587" s="31"/>
      <c r="J587" s="31"/>
    </row>
    <row r="588" spans="3:10" ht="15.75" customHeight="1" x14ac:dyDescent="0.3">
      <c r="C588" s="31"/>
      <c r="F588" s="31"/>
      <c r="I588" s="31"/>
      <c r="J588" s="31"/>
    </row>
    <row r="589" spans="3:10" ht="15.75" customHeight="1" x14ac:dyDescent="0.3">
      <c r="C589" s="31"/>
      <c r="F589" s="31"/>
      <c r="I589" s="31"/>
      <c r="J589" s="31"/>
    </row>
    <row r="590" spans="3:10" ht="15.75" customHeight="1" x14ac:dyDescent="0.3">
      <c r="C590" s="31"/>
      <c r="F590" s="31"/>
      <c r="I590" s="31"/>
      <c r="J590" s="31"/>
    </row>
    <row r="591" spans="3:10" ht="15.75" customHeight="1" x14ac:dyDescent="0.3">
      <c r="C591" s="31"/>
      <c r="F591" s="31"/>
      <c r="I591" s="31"/>
      <c r="J591" s="31"/>
    </row>
    <row r="592" spans="3:10" ht="15.75" customHeight="1" x14ac:dyDescent="0.3">
      <c r="C592" s="31"/>
      <c r="F592" s="31"/>
      <c r="I592" s="31"/>
      <c r="J592" s="31"/>
    </row>
    <row r="593" spans="3:10" ht="15.75" customHeight="1" x14ac:dyDescent="0.3">
      <c r="C593" s="31"/>
      <c r="F593" s="31"/>
      <c r="I593" s="31"/>
      <c r="J593" s="31"/>
    </row>
    <row r="594" spans="3:10" ht="15.75" customHeight="1" x14ac:dyDescent="0.3">
      <c r="C594" s="31"/>
      <c r="F594" s="31"/>
      <c r="I594" s="31"/>
      <c r="J594" s="31"/>
    </row>
    <row r="595" spans="3:10" ht="15.75" customHeight="1" x14ac:dyDescent="0.3">
      <c r="C595" s="31"/>
      <c r="F595" s="31"/>
      <c r="I595" s="31"/>
      <c r="J595" s="31"/>
    </row>
    <row r="596" spans="3:10" ht="15.75" customHeight="1" x14ac:dyDescent="0.3">
      <c r="C596" s="31"/>
      <c r="F596" s="31"/>
      <c r="I596" s="31"/>
      <c r="J596" s="31"/>
    </row>
    <row r="597" spans="3:10" ht="15.75" customHeight="1" x14ac:dyDescent="0.3">
      <c r="C597" s="31"/>
      <c r="F597" s="31"/>
      <c r="I597" s="31"/>
      <c r="J597" s="31"/>
    </row>
    <row r="598" spans="3:10" ht="15.75" customHeight="1" x14ac:dyDescent="0.3">
      <c r="C598" s="31"/>
      <c r="F598" s="31"/>
      <c r="I598" s="31"/>
      <c r="J598" s="31"/>
    </row>
    <row r="599" spans="3:10" ht="15.75" customHeight="1" x14ac:dyDescent="0.3">
      <c r="C599" s="31"/>
      <c r="F599" s="31"/>
      <c r="I599" s="31"/>
      <c r="J599" s="31"/>
    </row>
    <row r="600" spans="3:10" ht="15.75" customHeight="1" x14ac:dyDescent="0.3">
      <c r="C600" s="31"/>
      <c r="F600" s="31"/>
      <c r="I600" s="31"/>
      <c r="J600" s="31"/>
    </row>
    <row r="601" spans="3:10" ht="15.75" customHeight="1" x14ac:dyDescent="0.3">
      <c r="C601" s="31"/>
      <c r="F601" s="31"/>
      <c r="I601" s="31"/>
      <c r="J601" s="31"/>
    </row>
    <row r="602" spans="3:10" ht="15.75" customHeight="1" x14ac:dyDescent="0.3">
      <c r="C602" s="31"/>
      <c r="F602" s="31"/>
      <c r="I602" s="31"/>
      <c r="J602" s="31"/>
    </row>
    <row r="603" spans="3:10" ht="15.75" customHeight="1" x14ac:dyDescent="0.3">
      <c r="C603" s="31"/>
      <c r="F603" s="31"/>
      <c r="I603" s="31"/>
      <c r="J603" s="31"/>
    </row>
    <row r="604" spans="3:10" ht="15.75" customHeight="1" x14ac:dyDescent="0.3">
      <c r="C604" s="31"/>
      <c r="F604" s="31"/>
      <c r="I604" s="31"/>
      <c r="J604" s="31"/>
    </row>
    <row r="605" spans="3:10" ht="15.75" customHeight="1" x14ac:dyDescent="0.3">
      <c r="C605" s="31"/>
      <c r="F605" s="31"/>
      <c r="I605" s="31"/>
      <c r="J605" s="31"/>
    </row>
    <row r="606" spans="3:10" ht="15.75" customHeight="1" x14ac:dyDescent="0.3">
      <c r="C606" s="31"/>
      <c r="F606" s="31"/>
      <c r="I606" s="31"/>
      <c r="J606" s="31"/>
    </row>
    <row r="607" spans="3:10" ht="15.75" customHeight="1" x14ac:dyDescent="0.3">
      <c r="C607" s="31"/>
      <c r="F607" s="31"/>
      <c r="I607" s="31"/>
      <c r="J607" s="31"/>
    </row>
    <row r="608" spans="3:10" ht="15.75" customHeight="1" x14ac:dyDescent="0.3">
      <c r="C608" s="31"/>
      <c r="F608" s="31"/>
      <c r="I608" s="31"/>
      <c r="J608" s="31"/>
    </row>
    <row r="609" spans="3:10" ht="15.75" customHeight="1" x14ac:dyDescent="0.3">
      <c r="C609" s="31"/>
      <c r="F609" s="31"/>
      <c r="I609" s="31"/>
      <c r="J609" s="31"/>
    </row>
    <row r="610" spans="3:10" ht="15.75" customHeight="1" x14ac:dyDescent="0.3">
      <c r="C610" s="31"/>
      <c r="F610" s="31"/>
      <c r="I610" s="31"/>
      <c r="J610" s="31"/>
    </row>
    <row r="611" spans="3:10" ht="15.75" customHeight="1" x14ac:dyDescent="0.3">
      <c r="C611" s="31"/>
      <c r="F611" s="31"/>
      <c r="I611" s="31"/>
      <c r="J611" s="31"/>
    </row>
    <row r="612" spans="3:10" ht="15.75" customHeight="1" x14ac:dyDescent="0.3">
      <c r="C612" s="31"/>
      <c r="F612" s="31"/>
      <c r="I612" s="31"/>
      <c r="J612" s="31"/>
    </row>
    <row r="613" spans="3:10" ht="15.75" customHeight="1" x14ac:dyDescent="0.3">
      <c r="C613" s="31"/>
      <c r="F613" s="31"/>
      <c r="I613" s="31"/>
      <c r="J613" s="31"/>
    </row>
    <row r="614" spans="3:10" ht="15.75" customHeight="1" x14ac:dyDescent="0.3">
      <c r="C614" s="31"/>
      <c r="F614" s="31"/>
      <c r="I614" s="31"/>
      <c r="J614" s="31"/>
    </row>
    <row r="615" spans="3:10" ht="15.75" customHeight="1" x14ac:dyDescent="0.3">
      <c r="C615" s="31"/>
      <c r="F615" s="31"/>
      <c r="I615" s="31"/>
      <c r="J615" s="31"/>
    </row>
    <row r="616" spans="3:10" ht="15.75" customHeight="1" x14ac:dyDescent="0.3">
      <c r="C616" s="31"/>
      <c r="F616" s="31"/>
      <c r="I616" s="31"/>
      <c r="J616" s="31"/>
    </row>
    <row r="617" spans="3:10" ht="15.75" customHeight="1" x14ac:dyDescent="0.3">
      <c r="C617" s="31"/>
      <c r="F617" s="31"/>
      <c r="I617" s="31"/>
      <c r="J617" s="31"/>
    </row>
    <row r="618" spans="3:10" ht="15.75" customHeight="1" x14ac:dyDescent="0.3">
      <c r="C618" s="31"/>
      <c r="F618" s="31"/>
      <c r="I618" s="31"/>
      <c r="J618" s="31"/>
    </row>
    <row r="619" spans="3:10" ht="15.75" customHeight="1" x14ac:dyDescent="0.3">
      <c r="C619" s="31"/>
      <c r="F619" s="31"/>
      <c r="I619" s="31"/>
      <c r="J619" s="31"/>
    </row>
    <row r="620" spans="3:10" ht="15.75" customHeight="1" x14ac:dyDescent="0.3">
      <c r="C620" s="31"/>
      <c r="F620" s="31"/>
      <c r="I620" s="31"/>
      <c r="J620" s="31"/>
    </row>
    <row r="621" spans="3:10" ht="15.75" customHeight="1" x14ac:dyDescent="0.3">
      <c r="C621" s="31"/>
      <c r="F621" s="31"/>
      <c r="I621" s="31"/>
      <c r="J621" s="31"/>
    </row>
    <row r="622" spans="3:10" ht="15.75" customHeight="1" x14ac:dyDescent="0.3">
      <c r="C622" s="31"/>
      <c r="F622" s="31"/>
      <c r="I622" s="31"/>
      <c r="J622" s="31"/>
    </row>
    <row r="623" spans="3:10" ht="15.75" customHeight="1" x14ac:dyDescent="0.3">
      <c r="C623" s="31"/>
      <c r="F623" s="31"/>
      <c r="I623" s="31"/>
      <c r="J623" s="31"/>
    </row>
    <row r="624" spans="3:10" ht="15.75" customHeight="1" x14ac:dyDescent="0.3">
      <c r="C624" s="31"/>
      <c r="F624" s="31"/>
      <c r="I624" s="31"/>
      <c r="J624" s="31"/>
    </row>
    <row r="625" spans="3:10" ht="15.75" customHeight="1" x14ac:dyDescent="0.3">
      <c r="C625" s="31"/>
      <c r="F625" s="31"/>
      <c r="I625" s="31"/>
      <c r="J625" s="31"/>
    </row>
    <row r="626" spans="3:10" ht="15.75" customHeight="1" x14ac:dyDescent="0.3">
      <c r="C626" s="31"/>
      <c r="F626" s="31"/>
      <c r="I626" s="31"/>
      <c r="J626" s="31"/>
    </row>
    <row r="627" spans="3:10" ht="15.75" customHeight="1" x14ac:dyDescent="0.3">
      <c r="C627" s="31"/>
      <c r="F627" s="31"/>
      <c r="I627" s="31"/>
      <c r="J627" s="31"/>
    </row>
    <row r="628" spans="3:10" ht="15.75" customHeight="1" x14ac:dyDescent="0.3">
      <c r="C628" s="31"/>
      <c r="F628" s="31"/>
      <c r="I628" s="31"/>
      <c r="J628" s="31"/>
    </row>
    <row r="629" spans="3:10" ht="15.75" customHeight="1" x14ac:dyDescent="0.3">
      <c r="C629" s="31"/>
      <c r="F629" s="31"/>
      <c r="I629" s="31"/>
      <c r="J629" s="31"/>
    </row>
    <row r="630" spans="3:10" ht="15.75" customHeight="1" x14ac:dyDescent="0.3">
      <c r="C630" s="31"/>
      <c r="F630" s="31"/>
      <c r="I630" s="31"/>
      <c r="J630" s="31"/>
    </row>
    <row r="631" spans="3:10" ht="15.75" customHeight="1" x14ac:dyDescent="0.3">
      <c r="C631" s="31"/>
      <c r="F631" s="31"/>
      <c r="I631" s="31"/>
      <c r="J631" s="31"/>
    </row>
    <row r="632" spans="3:10" ht="15.75" customHeight="1" x14ac:dyDescent="0.3">
      <c r="C632" s="31"/>
      <c r="F632" s="31"/>
      <c r="I632" s="31"/>
      <c r="J632" s="31"/>
    </row>
    <row r="633" spans="3:10" ht="15.75" customHeight="1" x14ac:dyDescent="0.3">
      <c r="C633" s="31"/>
      <c r="F633" s="31"/>
      <c r="I633" s="31"/>
      <c r="J633" s="31"/>
    </row>
    <row r="634" spans="3:10" ht="15.75" customHeight="1" x14ac:dyDescent="0.3">
      <c r="C634" s="31"/>
      <c r="F634" s="31"/>
      <c r="I634" s="31"/>
      <c r="J634" s="31"/>
    </row>
    <row r="635" spans="3:10" ht="15.75" customHeight="1" x14ac:dyDescent="0.3">
      <c r="C635" s="31"/>
      <c r="F635" s="31"/>
      <c r="I635" s="31"/>
      <c r="J635" s="31"/>
    </row>
    <row r="636" spans="3:10" ht="15.75" customHeight="1" x14ac:dyDescent="0.3">
      <c r="C636" s="31"/>
      <c r="F636" s="31"/>
      <c r="I636" s="31"/>
      <c r="J636" s="31"/>
    </row>
    <row r="637" spans="3:10" ht="15.75" customHeight="1" x14ac:dyDescent="0.3">
      <c r="C637" s="31"/>
      <c r="F637" s="31"/>
      <c r="I637" s="31"/>
      <c r="J637" s="31"/>
    </row>
    <row r="638" spans="3:10" ht="15.75" customHeight="1" x14ac:dyDescent="0.3">
      <c r="C638" s="31"/>
      <c r="F638" s="31"/>
      <c r="I638" s="31"/>
      <c r="J638" s="31"/>
    </row>
    <row r="639" spans="3:10" ht="15.75" customHeight="1" x14ac:dyDescent="0.3">
      <c r="C639" s="31"/>
      <c r="F639" s="31"/>
      <c r="I639" s="31"/>
      <c r="J639" s="31"/>
    </row>
    <row r="640" spans="3:10" ht="15.75" customHeight="1" x14ac:dyDescent="0.3">
      <c r="C640" s="31"/>
      <c r="F640" s="31"/>
      <c r="I640" s="31"/>
      <c r="J640" s="31"/>
    </row>
    <row r="641" spans="3:10" ht="15.75" customHeight="1" x14ac:dyDescent="0.3">
      <c r="C641" s="31"/>
      <c r="F641" s="31"/>
      <c r="I641" s="31"/>
      <c r="J641" s="31"/>
    </row>
    <row r="642" spans="3:10" ht="15.75" customHeight="1" x14ac:dyDescent="0.3">
      <c r="C642" s="31"/>
      <c r="F642" s="31"/>
      <c r="I642" s="31"/>
      <c r="J642" s="31"/>
    </row>
    <row r="643" spans="3:10" ht="15.75" customHeight="1" x14ac:dyDescent="0.3">
      <c r="C643" s="31"/>
      <c r="F643" s="31"/>
      <c r="I643" s="31"/>
      <c r="J643" s="31"/>
    </row>
    <row r="644" spans="3:10" ht="15.75" customHeight="1" x14ac:dyDescent="0.3">
      <c r="C644" s="31"/>
      <c r="F644" s="31"/>
      <c r="I644" s="31"/>
      <c r="J644" s="31"/>
    </row>
    <row r="645" spans="3:10" ht="15.75" customHeight="1" x14ac:dyDescent="0.3">
      <c r="C645" s="31"/>
      <c r="F645" s="31"/>
      <c r="I645" s="31"/>
      <c r="J645" s="31"/>
    </row>
    <row r="646" spans="3:10" ht="15.75" customHeight="1" x14ac:dyDescent="0.3">
      <c r="C646" s="31"/>
      <c r="F646" s="31"/>
      <c r="I646" s="31"/>
      <c r="J646" s="31"/>
    </row>
    <row r="647" spans="3:10" ht="15.75" customHeight="1" x14ac:dyDescent="0.3">
      <c r="C647" s="31"/>
      <c r="F647" s="31"/>
      <c r="I647" s="31"/>
      <c r="J647" s="31"/>
    </row>
    <row r="648" spans="3:10" ht="15.75" customHeight="1" x14ac:dyDescent="0.3">
      <c r="C648" s="31"/>
      <c r="F648" s="31"/>
      <c r="I648" s="31"/>
      <c r="J648" s="31"/>
    </row>
    <row r="649" spans="3:10" ht="15.75" customHeight="1" x14ac:dyDescent="0.3">
      <c r="C649" s="31"/>
      <c r="F649" s="31"/>
      <c r="I649" s="31"/>
      <c r="J649" s="31"/>
    </row>
    <row r="650" spans="3:10" ht="15.75" customHeight="1" x14ac:dyDescent="0.3">
      <c r="C650" s="31"/>
      <c r="F650" s="31"/>
      <c r="I650" s="31"/>
      <c r="J650" s="31"/>
    </row>
    <row r="651" spans="3:10" ht="15.75" customHeight="1" x14ac:dyDescent="0.3">
      <c r="C651" s="31"/>
      <c r="F651" s="31"/>
      <c r="I651" s="31"/>
      <c r="J651" s="31"/>
    </row>
    <row r="652" spans="3:10" ht="15.75" customHeight="1" x14ac:dyDescent="0.3">
      <c r="C652" s="31"/>
      <c r="F652" s="31"/>
      <c r="I652" s="31"/>
      <c r="J652" s="31"/>
    </row>
    <row r="653" spans="3:10" ht="15.75" customHeight="1" x14ac:dyDescent="0.3">
      <c r="C653" s="31"/>
      <c r="F653" s="31"/>
      <c r="I653" s="31"/>
      <c r="J653" s="31"/>
    </row>
    <row r="654" spans="3:10" ht="15.75" customHeight="1" x14ac:dyDescent="0.3">
      <c r="C654" s="31"/>
      <c r="F654" s="31"/>
      <c r="I654" s="31"/>
      <c r="J654" s="31"/>
    </row>
    <row r="655" spans="3:10" ht="15.75" customHeight="1" x14ac:dyDescent="0.3">
      <c r="C655" s="31"/>
      <c r="F655" s="31"/>
      <c r="I655" s="31"/>
      <c r="J655" s="31"/>
    </row>
    <row r="656" spans="3:10" ht="15.75" customHeight="1" x14ac:dyDescent="0.3">
      <c r="C656" s="31"/>
      <c r="F656" s="31"/>
      <c r="I656" s="31"/>
      <c r="J656" s="31"/>
    </row>
    <row r="657" spans="3:10" ht="15.75" customHeight="1" x14ac:dyDescent="0.3">
      <c r="C657" s="31"/>
      <c r="F657" s="31"/>
      <c r="I657" s="31"/>
      <c r="J657" s="31"/>
    </row>
    <row r="658" spans="3:10" ht="15.75" customHeight="1" x14ac:dyDescent="0.3">
      <c r="C658" s="31"/>
      <c r="F658" s="31"/>
      <c r="I658" s="31"/>
      <c r="J658" s="31"/>
    </row>
    <row r="659" spans="3:10" ht="15.75" customHeight="1" x14ac:dyDescent="0.3">
      <c r="C659" s="31"/>
      <c r="F659" s="31"/>
      <c r="I659" s="31"/>
      <c r="J659" s="31"/>
    </row>
    <row r="660" spans="3:10" ht="15.75" customHeight="1" x14ac:dyDescent="0.3">
      <c r="C660" s="31"/>
      <c r="F660" s="31"/>
      <c r="I660" s="31"/>
      <c r="J660" s="31"/>
    </row>
    <row r="661" spans="3:10" ht="15.75" customHeight="1" x14ac:dyDescent="0.3">
      <c r="C661" s="31"/>
      <c r="F661" s="31"/>
      <c r="I661" s="31"/>
      <c r="J661" s="31"/>
    </row>
    <row r="662" spans="3:10" ht="15.75" customHeight="1" x14ac:dyDescent="0.3">
      <c r="C662" s="31"/>
      <c r="F662" s="31"/>
      <c r="I662" s="31"/>
      <c r="J662" s="31"/>
    </row>
    <row r="663" spans="3:10" ht="15.75" customHeight="1" x14ac:dyDescent="0.3">
      <c r="C663" s="31"/>
      <c r="F663" s="31"/>
      <c r="I663" s="31"/>
      <c r="J663" s="31"/>
    </row>
    <row r="664" spans="3:10" ht="15.75" customHeight="1" x14ac:dyDescent="0.3">
      <c r="C664" s="31"/>
      <c r="F664" s="31"/>
      <c r="I664" s="31"/>
      <c r="J664" s="31"/>
    </row>
    <row r="665" spans="3:10" ht="15.75" customHeight="1" x14ac:dyDescent="0.3">
      <c r="C665" s="31"/>
      <c r="F665" s="31"/>
      <c r="I665" s="31"/>
      <c r="J665" s="31"/>
    </row>
    <row r="666" spans="3:10" ht="15.75" customHeight="1" x14ac:dyDescent="0.3">
      <c r="C666" s="31"/>
      <c r="F666" s="31"/>
      <c r="I666" s="31"/>
      <c r="J666" s="31"/>
    </row>
    <row r="667" spans="3:10" ht="15.75" customHeight="1" x14ac:dyDescent="0.3">
      <c r="C667" s="31"/>
      <c r="F667" s="31"/>
      <c r="I667" s="31"/>
      <c r="J667" s="31"/>
    </row>
    <row r="668" spans="3:10" ht="15.75" customHeight="1" x14ac:dyDescent="0.3">
      <c r="C668" s="31"/>
      <c r="F668" s="31"/>
      <c r="I668" s="31"/>
      <c r="J668" s="31"/>
    </row>
    <row r="669" spans="3:10" ht="15.75" customHeight="1" x14ac:dyDescent="0.3">
      <c r="C669" s="31"/>
      <c r="F669" s="31"/>
      <c r="I669" s="31"/>
      <c r="J669" s="31"/>
    </row>
    <row r="670" spans="3:10" ht="15.75" customHeight="1" x14ac:dyDescent="0.3">
      <c r="C670" s="31"/>
      <c r="F670" s="31"/>
      <c r="I670" s="31"/>
      <c r="J670" s="31"/>
    </row>
    <row r="671" spans="3:10" ht="15.75" customHeight="1" x14ac:dyDescent="0.3">
      <c r="C671" s="31"/>
      <c r="F671" s="31"/>
      <c r="I671" s="31"/>
      <c r="J671" s="31"/>
    </row>
    <row r="672" spans="3:10" ht="15.75" customHeight="1" x14ac:dyDescent="0.3">
      <c r="C672" s="31"/>
      <c r="F672" s="31"/>
      <c r="I672" s="31"/>
      <c r="J672" s="31"/>
    </row>
    <row r="673" spans="3:10" ht="15.75" customHeight="1" x14ac:dyDescent="0.3">
      <c r="C673" s="31"/>
      <c r="F673" s="31"/>
      <c r="I673" s="31"/>
      <c r="J673" s="31"/>
    </row>
    <row r="674" spans="3:10" ht="15.75" customHeight="1" x14ac:dyDescent="0.3">
      <c r="C674" s="31"/>
      <c r="F674" s="31"/>
      <c r="I674" s="31"/>
      <c r="J674" s="31"/>
    </row>
    <row r="675" spans="3:10" ht="15.75" customHeight="1" x14ac:dyDescent="0.3">
      <c r="C675" s="31"/>
      <c r="F675" s="31"/>
      <c r="I675" s="31"/>
      <c r="J675" s="31"/>
    </row>
    <row r="676" spans="3:10" ht="15.75" customHeight="1" x14ac:dyDescent="0.3">
      <c r="C676" s="31"/>
      <c r="F676" s="31"/>
      <c r="I676" s="31"/>
      <c r="J676" s="31"/>
    </row>
    <row r="677" spans="3:10" ht="15.75" customHeight="1" x14ac:dyDescent="0.3">
      <c r="C677" s="31"/>
      <c r="F677" s="31"/>
      <c r="I677" s="31"/>
      <c r="J677" s="31"/>
    </row>
    <row r="678" spans="3:10" ht="15.75" customHeight="1" x14ac:dyDescent="0.3">
      <c r="C678" s="31"/>
      <c r="F678" s="31"/>
      <c r="I678" s="31"/>
      <c r="J678" s="31"/>
    </row>
    <row r="679" spans="3:10" ht="15.75" customHeight="1" x14ac:dyDescent="0.3">
      <c r="C679" s="31"/>
      <c r="F679" s="31"/>
      <c r="I679" s="31"/>
      <c r="J679" s="31"/>
    </row>
    <row r="680" spans="3:10" ht="15.75" customHeight="1" x14ac:dyDescent="0.3">
      <c r="C680" s="31"/>
      <c r="F680" s="31"/>
      <c r="I680" s="31"/>
      <c r="J680" s="31"/>
    </row>
    <row r="681" spans="3:10" ht="15.75" customHeight="1" x14ac:dyDescent="0.3">
      <c r="C681" s="31"/>
      <c r="F681" s="31"/>
      <c r="I681" s="31"/>
      <c r="J681" s="31"/>
    </row>
    <row r="682" spans="3:10" ht="15.75" customHeight="1" x14ac:dyDescent="0.3">
      <c r="C682" s="31"/>
      <c r="F682" s="31"/>
      <c r="I682" s="31"/>
      <c r="J682" s="31"/>
    </row>
    <row r="683" spans="3:10" ht="15.75" customHeight="1" x14ac:dyDescent="0.3">
      <c r="C683" s="31"/>
      <c r="F683" s="31"/>
      <c r="I683" s="31"/>
      <c r="J683" s="31"/>
    </row>
    <row r="684" spans="3:10" ht="15.75" customHeight="1" x14ac:dyDescent="0.3">
      <c r="C684" s="31"/>
      <c r="F684" s="31"/>
      <c r="I684" s="31"/>
      <c r="J684" s="31"/>
    </row>
    <row r="685" spans="3:10" ht="15.75" customHeight="1" x14ac:dyDescent="0.3">
      <c r="C685" s="31"/>
      <c r="F685" s="31"/>
      <c r="I685" s="31"/>
      <c r="J685" s="31"/>
    </row>
    <row r="686" spans="3:10" ht="15.75" customHeight="1" x14ac:dyDescent="0.3">
      <c r="C686" s="31"/>
      <c r="F686" s="31"/>
      <c r="I686" s="31"/>
      <c r="J686" s="31"/>
    </row>
    <row r="687" spans="3:10" ht="15.75" customHeight="1" x14ac:dyDescent="0.3">
      <c r="C687" s="31"/>
      <c r="F687" s="31"/>
      <c r="I687" s="31"/>
      <c r="J687" s="31"/>
    </row>
    <row r="688" spans="3:10" ht="15.75" customHeight="1" x14ac:dyDescent="0.3">
      <c r="C688" s="31"/>
      <c r="F688" s="31"/>
      <c r="I688" s="31"/>
      <c r="J688" s="31"/>
    </row>
    <row r="689" spans="3:10" ht="15.75" customHeight="1" x14ac:dyDescent="0.3">
      <c r="C689" s="31"/>
      <c r="F689" s="31"/>
      <c r="I689" s="31"/>
      <c r="J689" s="31"/>
    </row>
    <row r="690" spans="3:10" ht="15.75" customHeight="1" x14ac:dyDescent="0.3">
      <c r="C690" s="31"/>
      <c r="F690" s="31"/>
      <c r="I690" s="31"/>
      <c r="J690" s="31"/>
    </row>
    <row r="691" spans="3:10" ht="15.75" customHeight="1" x14ac:dyDescent="0.3">
      <c r="C691" s="31"/>
      <c r="F691" s="31"/>
      <c r="I691" s="31"/>
      <c r="J691" s="31"/>
    </row>
    <row r="692" spans="3:10" ht="15.75" customHeight="1" x14ac:dyDescent="0.3">
      <c r="C692" s="31"/>
      <c r="F692" s="31"/>
      <c r="I692" s="31"/>
      <c r="J692" s="31"/>
    </row>
    <row r="693" spans="3:10" ht="15.75" customHeight="1" x14ac:dyDescent="0.3">
      <c r="C693" s="31"/>
      <c r="F693" s="31"/>
      <c r="I693" s="31"/>
      <c r="J693" s="31"/>
    </row>
    <row r="694" spans="3:10" ht="15.75" customHeight="1" x14ac:dyDescent="0.3">
      <c r="C694" s="31"/>
      <c r="F694" s="31"/>
      <c r="I694" s="31"/>
      <c r="J694" s="31"/>
    </row>
    <row r="695" spans="3:10" ht="15.75" customHeight="1" x14ac:dyDescent="0.3">
      <c r="C695" s="31"/>
      <c r="F695" s="31"/>
      <c r="I695" s="31"/>
      <c r="J695" s="31"/>
    </row>
    <row r="696" spans="3:10" ht="15.75" customHeight="1" x14ac:dyDescent="0.3">
      <c r="C696" s="31"/>
      <c r="F696" s="31"/>
      <c r="I696" s="31"/>
      <c r="J696" s="31"/>
    </row>
    <row r="697" spans="3:10" ht="15.75" customHeight="1" x14ac:dyDescent="0.3">
      <c r="C697" s="31"/>
      <c r="F697" s="31"/>
      <c r="I697" s="31"/>
      <c r="J697" s="31"/>
    </row>
    <row r="698" spans="3:10" ht="15.75" customHeight="1" x14ac:dyDescent="0.3">
      <c r="C698" s="31"/>
      <c r="F698" s="31"/>
      <c r="I698" s="31"/>
      <c r="J698" s="31"/>
    </row>
    <row r="699" spans="3:10" ht="15.75" customHeight="1" x14ac:dyDescent="0.3">
      <c r="C699" s="31"/>
      <c r="F699" s="31"/>
      <c r="I699" s="31"/>
      <c r="J699" s="31"/>
    </row>
    <row r="700" spans="3:10" ht="15.75" customHeight="1" x14ac:dyDescent="0.3">
      <c r="C700" s="31"/>
      <c r="F700" s="31"/>
      <c r="I700" s="31"/>
      <c r="J700" s="31"/>
    </row>
    <row r="701" spans="3:10" ht="15.75" customHeight="1" x14ac:dyDescent="0.3">
      <c r="C701" s="31"/>
      <c r="F701" s="31"/>
      <c r="I701" s="31"/>
      <c r="J701" s="31"/>
    </row>
    <row r="702" spans="3:10" ht="15.75" customHeight="1" x14ac:dyDescent="0.3">
      <c r="C702" s="31"/>
      <c r="F702" s="31"/>
      <c r="I702" s="31"/>
      <c r="J702" s="31"/>
    </row>
    <row r="703" spans="3:10" ht="15.75" customHeight="1" x14ac:dyDescent="0.3">
      <c r="C703" s="31"/>
      <c r="F703" s="31"/>
      <c r="I703" s="31"/>
      <c r="J703" s="31"/>
    </row>
    <row r="704" spans="3:10" ht="15.75" customHeight="1" x14ac:dyDescent="0.3">
      <c r="C704" s="31"/>
      <c r="F704" s="31"/>
      <c r="I704" s="31"/>
      <c r="J704" s="31"/>
    </row>
    <row r="705" spans="3:10" ht="15.75" customHeight="1" x14ac:dyDescent="0.3">
      <c r="C705" s="31"/>
      <c r="F705" s="31"/>
      <c r="I705" s="31"/>
      <c r="J705" s="31"/>
    </row>
    <row r="706" spans="3:10" ht="15.75" customHeight="1" x14ac:dyDescent="0.3">
      <c r="C706" s="31"/>
      <c r="F706" s="31"/>
      <c r="I706" s="31"/>
      <c r="J706" s="31"/>
    </row>
    <row r="707" spans="3:10" ht="15.75" customHeight="1" x14ac:dyDescent="0.3">
      <c r="C707" s="31"/>
      <c r="F707" s="31"/>
      <c r="I707" s="31"/>
      <c r="J707" s="31"/>
    </row>
    <row r="708" spans="3:10" ht="15.75" customHeight="1" x14ac:dyDescent="0.3">
      <c r="C708" s="31"/>
      <c r="F708" s="31"/>
      <c r="I708" s="31"/>
      <c r="J708" s="31"/>
    </row>
    <row r="709" spans="3:10" ht="15.75" customHeight="1" x14ac:dyDescent="0.3">
      <c r="C709" s="31"/>
      <c r="F709" s="31"/>
      <c r="I709" s="31"/>
      <c r="J709" s="31"/>
    </row>
    <row r="710" spans="3:10" ht="15.75" customHeight="1" x14ac:dyDescent="0.3">
      <c r="C710" s="31"/>
      <c r="F710" s="31"/>
      <c r="I710" s="31"/>
      <c r="J710" s="31"/>
    </row>
    <row r="711" spans="3:10" ht="15.75" customHeight="1" x14ac:dyDescent="0.3">
      <c r="C711" s="31"/>
      <c r="F711" s="31"/>
      <c r="I711" s="31"/>
      <c r="J711" s="31"/>
    </row>
    <row r="712" spans="3:10" ht="15.75" customHeight="1" x14ac:dyDescent="0.3">
      <c r="C712" s="31"/>
      <c r="F712" s="31"/>
      <c r="I712" s="31"/>
      <c r="J712" s="31"/>
    </row>
    <row r="713" spans="3:10" ht="15.75" customHeight="1" x14ac:dyDescent="0.3">
      <c r="C713" s="31"/>
      <c r="F713" s="31"/>
      <c r="I713" s="31"/>
      <c r="J713" s="31"/>
    </row>
    <row r="714" spans="3:10" ht="15.75" customHeight="1" x14ac:dyDescent="0.3">
      <c r="C714" s="31"/>
      <c r="F714" s="31"/>
      <c r="I714" s="31"/>
      <c r="J714" s="31"/>
    </row>
    <row r="715" spans="3:10" ht="15.75" customHeight="1" x14ac:dyDescent="0.3">
      <c r="C715" s="31"/>
      <c r="F715" s="31"/>
      <c r="I715" s="31"/>
      <c r="J715" s="31"/>
    </row>
    <row r="716" spans="3:10" ht="15.75" customHeight="1" x14ac:dyDescent="0.3">
      <c r="C716" s="31"/>
      <c r="F716" s="31"/>
      <c r="I716" s="31"/>
      <c r="J716" s="31"/>
    </row>
    <row r="717" spans="3:10" ht="15.75" customHeight="1" x14ac:dyDescent="0.3">
      <c r="C717" s="31"/>
      <c r="F717" s="31"/>
      <c r="I717" s="31"/>
      <c r="J717" s="31"/>
    </row>
    <row r="718" spans="3:10" ht="15.75" customHeight="1" x14ac:dyDescent="0.3">
      <c r="C718" s="31"/>
      <c r="F718" s="31"/>
      <c r="I718" s="31"/>
      <c r="J718" s="31"/>
    </row>
    <row r="719" spans="3:10" ht="15.75" customHeight="1" x14ac:dyDescent="0.3">
      <c r="C719" s="31"/>
      <c r="F719" s="31"/>
      <c r="I719" s="31"/>
      <c r="J719" s="31"/>
    </row>
    <row r="720" spans="3:10" ht="15.75" customHeight="1" x14ac:dyDescent="0.3">
      <c r="C720" s="31"/>
      <c r="F720" s="31"/>
      <c r="I720" s="31"/>
      <c r="J720" s="31"/>
    </row>
    <row r="721" spans="3:10" ht="15.75" customHeight="1" x14ac:dyDescent="0.3">
      <c r="C721" s="31"/>
      <c r="F721" s="31"/>
      <c r="I721" s="31"/>
      <c r="J721" s="31"/>
    </row>
    <row r="722" spans="3:10" ht="15.75" customHeight="1" x14ac:dyDescent="0.3">
      <c r="C722" s="31"/>
      <c r="F722" s="31"/>
      <c r="I722" s="31"/>
      <c r="J722" s="31"/>
    </row>
    <row r="723" spans="3:10" ht="15.75" customHeight="1" x14ac:dyDescent="0.3">
      <c r="C723" s="31"/>
      <c r="F723" s="31"/>
      <c r="I723" s="31"/>
      <c r="J723" s="31"/>
    </row>
    <row r="724" spans="3:10" ht="15.75" customHeight="1" x14ac:dyDescent="0.3">
      <c r="C724" s="31"/>
      <c r="F724" s="31"/>
      <c r="I724" s="31"/>
      <c r="J724" s="31"/>
    </row>
    <row r="725" spans="3:10" ht="15.75" customHeight="1" x14ac:dyDescent="0.3">
      <c r="C725" s="31"/>
      <c r="F725" s="31"/>
      <c r="I725" s="31"/>
      <c r="J725" s="31"/>
    </row>
    <row r="726" spans="3:10" ht="15.75" customHeight="1" x14ac:dyDescent="0.3">
      <c r="C726" s="31"/>
      <c r="F726" s="31"/>
      <c r="I726" s="31"/>
      <c r="J726" s="31"/>
    </row>
    <row r="727" spans="3:10" ht="15.75" customHeight="1" x14ac:dyDescent="0.3">
      <c r="C727" s="31"/>
      <c r="F727" s="31"/>
      <c r="I727" s="31"/>
      <c r="J727" s="31"/>
    </row>
    <row r="728" spans="3:10" ht="15.75" customHeight="1" x14ac:dyDescent="0.3">
      <c r="C728" s="31"/>
      <c r="F728" s="31"/>
      <c r="I728" s="31"/>
      <c r="J728" s="31"/>
    </row>
    <row r="729" spans="3:10" ht="15.75" customHeight="1" x14ac:dyDescent="0.3">
      <c r="C729" s="31"/>
      <c r="F729" s="31"/>
      <c r="I729" s="31"/>
      <c r="J729" s="31"/>
    </row>
    <row r="730" spans="3:10" ht="15.75" customHeight="1" x14ac:dyDescent="0.3">
      <c r="C730" s="31"/>
      <c r="F730" s="31"/>
      <c r="I730" s="31"/>
      <c r="J730" s="31"/>
    </row>
    <row r="731" spans="3:10" ht="15.75" customHeight="1" x14ac:dyDescent="0.3">
      <c r="C731" s="31"/>
      <c r="F731" s="31"/>
      <c r="I731" s="31"/>
      <c r="J731" s="31"/>
    </row>
    <row r="732" spans="3:10" ht="15.75" customHeight="1" x14ac:dyDescent="0.3">
      <c r="C732" s="31"/>
      <c r="F732" s="31"/>
      <c r="I732" s="31"/>
      <c r="J732" s="31"/>
    </row>
    <row r="733" spans="3:10" ht="15.75" customHeight="1" x14ac:dyDescent="0.3">
      <c r="C733" s="31"/>
      <c r="F733" s="31"/>
      <c r="I733" s="31"/>
      <c r="J733" s="31"/>
    </row>
    <row r="734" spans="3:10" ht="15.75" customHeight="1" x14ac:dyDescent="0.3">
      <c r="C734" s="31"/>
      <c r="F734" s="31"/>
      <c r="I734" s="31"/>
      <c r="J734" s="31"/>
    </row>
    <row r="735" spans="3:10" ht="15.75" customHeight="1" x14ac:dyDescent="0.3">
      <c r="C735" s="31"/>
      <c r="F735" s="31"/>
      <c r="I735" s="31"/>
      <c r="J735" s="31"/>
    </row>
    <row r="736" spans="3:10" ht="15.75" customHeight="1" x14ac:dyDescent="0.3">
      <c r="C736" s="31"/>
      <c r="F736" s="31"/>
      <c r="I736" s="31"/>
      <c r="J736" s="31"/>
    </row>
    <row r="737" spans="3:10" ht="15.75" customHeight="1" x14ac:dyDescent="0.3">
      <c r="C737" s="31"/>
      <c r="F737" s="31"/>
      <c r="I737" s="31"/>
      <c r="J737" s="31"/>
    </row>
    <row r="738" spans="3:10" ht="15.75" customHeight="1" x14ac:dyDescent="0.3">
      <c r="C738" s="31"/>
      <c r="F738" s="31"/>
      <c r="I738" s="31"/>
      <c r="J738" s="31"/>
    </row>
    <row r="739" spans="3:10" ht="15.75" customHeight="1" x14ac:dyDescent="0.3">
      <c r="C739" s="31"/>
      <c r="F739" s="31"/>
      <c r="I739" s="31"/>
      <c r="J739" s="31"/>
    </row>
    <row r="740" spans="3:10" ht="15.75" customHeight="1" x14ac:dyDescent="0.3">
      <c r="C740" s="31"/>
      <c r="F740" s="31"/>
      <c r="I740" s="31"/>
      <c r="J740" s="31"/>
    </row>
    <row r="741" spans="3:10" ht="15.75" customHeight="1" x14ac:dyDescent="0.3">
      <c r="C741" s="31"/>
      <c r="F741" s="31"/>
      <c r="I741" s="31"/>
      <c r="J741" s="31"/>
    </row>
    <row r="742" spans="3:10" ht="15.75" customHeight="1" x14ac:dyDescent="0.3">
      <c r="C742" s="31"/>
      <c r="F742" s="31"/>
      <c r="I742" s="31"/>
      <c r="J742" s="31"/>
    </row>
    <row r="743" spans="3:10" ht="15.75" customHeight="1" x14ac:dyDescent="0.3">
      <c r="C743" s="31"/>
      <c r="F743" s="31"/>
      <c r="I743" s="31"/>
      <c r="J743" s="31"/>
    </row>
    <row r="744" spans="3:10" ht="15.75" customHeight="1" x14ac:dyDescent="0.3">
      <c r="C744" s="31"/>
      <c r="F744" s="31"/>
      <c r="I744" s="31"/>
      <c r="J744" s="31"/>
    </row>
    <row r="745" spans="3:10" ht="15.75" customHeight="1" x14ac:dyDescent="0.3">
      <c r="C745" s="31"/>
      <c r="F745" s="31"/>
      <c r="I745" s="31"/>
      <c r="J745" s="31"/>
    </row>
    <row r="746" spans="3:10" ht="15.75" customHeight="1" x14ac:dyDescent="0.3">
      <c r="C746" s="31"/>
      <c r="F746" s="31"/>
      <c r="I746" s="31"/>
      <c r="J746" s="31"/>
    </row>
    <row r="747" spans="3:10" ht="15.75" customHeight="1" x14ac:dyDescent="0.3">
      <c r="C747" s="31"/>
      <c r="F747" s="31"/>
      <c r="I747" s="31"/>
      <c r="J747" s="31"/>
    </row>
    <row r="748" spans="3:10" ht="15.75" customHeight="1" x14ac:dyDescent="0.3">
      <c r="C748" s="31"/>
      <c r="F748" s="31"/>
      <c r="I748" s="31"/>
      <c r="J748" s="31"/>
    </row>
    <row r="749" spans="3:10" ht="15.75" customHeight="1" x14ac:dyDescent="0.3">
      <c r="C749" s="31"/>
      <c r="F749" s="31"/>
      <c r="I749" s="31"/>
      <c r="J749" s="31"/>
    </row>
    <row r="750" spans="3:10" ht="15.75" customHeight="1" x14ac:dyDescent="0.3">
      <c r="C750" s="31"/>
      <c r="F750" s="31"/>
      <c r="I750" s="31"/>
      <c r="J750" s="31"/>
    </row>
    <row r="751" spans="3:10" ht="15.75" customHeight="1" x14ac:dyDescent="0.3">
      <c r="C751" s="31"/>
      <c r="F751" s="31"/>
      <c r="I751" s="31"/>
      <c r="J751" s="31"/>
    </row>
    <row r="752" spans="3:10" ht="15.75" customHeight="1" x14ac:dyDescent="0.3">
      <c r="C752" s="31"/>
      <c r="F752" s="31"/>
      <c r="I752" s="31"/>
      <c r="J752" s="31"/>
    </row>
    <row r="753" spans="3:10" ht="15.75" customHeight="1" x14ac:dyDescent="0.3">
      <c r="C753" s="31"/>
      <c r="F753" s="31"/>
      <c r="I753" s="31"/>
      <c r="J753" s="31"/>
    </row>
    <row r="754" spans="3:10" ht="15.75" customHeight="1" x14ac:dyDescent="0.3">
      <c r="C754" s="31"/>
      <c r="F754" s="31"/>
      <c r="I754" s="31"/>
      <c r="J754" s="31"/>
    </row>
    <row r="755" spans="3:10" ht="15.75" customHeight="1" x14ac:dyDescent="0.3">
      <c r="C755" s="31"/>
      <c r="F755" s="31"/>
      <c r="I755" s="31"/>
      <c r="J755" s="31"/>
    </row>
    <row r="756" spans="3:10" ht="15.75" customHeight="1" x14ac:dyDescent="0.3">
      <c r="C756" s="31"/>
      <c r="F756" s="31"/>
      <c r="I756" s="31"/>
      <c r="J756" s="31"/>
    </row>
    <row r="757" spans="3:10" ht="15.75" customHeight="1" x14ac:dyDescent="0.3">
      <c r="C757" s="31"/>
      <c r="F757" s="31"/>
      <c r="I757" s="31"/>
      <c r="J757" s="31"/>
    </row>
    <row r="758" spans="3:10" ht="15.75" customHeight="1" x14ac:dyDescent="0.3">
      <c r="C758" s="31"/>
      <c r="F758" s="31"/>
      <c r="I758" s="31"/>
      <c r="J758" s="31"/>
    </row>
    <row r="759" spans="3:10" ht="15.75" customHeight="1" x14ac:dyDescent="0.3">
      <c r="C759" s="31"/>
      <c r="F759" s="31"/>
      <c r="I759" s="31"/>
      <c r="J759" s="31"/>
    </row>
    <row r="760" spans="3:10" ht="15.75" customHeight="1" x14ac:dyDescent="0.3">
      <c r="C760" s="31"/>
      <c r="F760" s="31"/>
      <c r="I760" s="31"/>
      <c r="J760" s="31"/>
    </row>
    <row r="761" spans="3:10" ht="15.75" customHeight="1" x14ac:dyDescent="0.3">
      <c r="C761" s="31"/>
      <c r="F761" s="31"/>
      <c r="I761" s="31"/>
      <c r="J761" s="31"/>
    </row>
    <row r="762" spans="3:10" ht="15.75" customHeight="1" x14ac:dyDescent="0.3">
      <c r="C762" s="31"/>
      <c r="F762" s="31"/>
      <c r="I762" s="31"/>
      <c r="J762" s="31"/>
    </row>
    <row r="763" spans="3:10" ht="15.75" customHeight="1" x14ac:dyDescent="0.3">
      <c r="C763" s="31"/>
      <c r="F763" s="31"/>
      <c r="I763" s="31"/>
      <c r="J763" s="31"/>
    </row>
    <row r="764" spans="3:10" ht="15.75" customHeight="1" x14ac:dyDescent="0.3">
      <c r="C764" s="31"/>
      <c r="F764" s="31"/>
      <c r="I764" s="31"/>
      <c r="J764" s="31"/>
    </row>
    <row r="765" spans="3:10" ht="15.75" customHeight="1" x14ac:dyDescent="0.3">
      <c r="C765" s="31"/>
      <c r="F765" s="31"/>
      <c r="I765" s="31"/>
      <c r="J765" s="31"/>
    </row>
    <row r="766" spans="3:10" ht="15.75" customHeight="1" x14ac:dyDescent="0.3">
      <c r="C766" s="31"/>
      <c r="F766" s="31"/>
      <c r="I766" s="31"/>
      <c r="J766" s="31"/>
    </row>
    <row r="767" spans="3:10" ht="15.75" customHeight="1" x14ac:dyDescent="0.3">
      <c r="C767" s="31"/>
      <c r="F767" s="31"/>
      <c r="I767" s="31"/>
      <c r="J767" s="31"/>
    </row>
    <row r="768" spans="3:10" ht="15.75" customHeight="1" x14ac:dyDescent="0.3">
      <c r="C768" s="31"/>
      <c r="F768" s="31"/>
      <c r="I768" s="31"/>
      <c r="J768" s="31"/>
    </row>
    <row r="769" spans="3:10" ht="15.75" customHeight="1" x14ac:dyDescent="0.3">
      <c r="C769" s="31"/>
      <c r="F769" s="31"/>
      <c r="I769" s="31"/>
      <c r="J769" s="31"/>
    </row>
    <row r="770" spans="3:10" ht="15.75" customHeight="1" x14ac:dyDescent="0.3">
      <c r="C770" s="31"/>
      <c r="F770" s="31"/>
      <c r="I770" s="31"/>
      <c r="J770" s="31"/>
    </row>
    <row r="771" spans="3:10" ht="15.75" customHeight="1" x14ac:dyDescent="0.3">
      <c r="C771" s="31"/>
      <c r="F771" s="31"/>
      <c r="I771" s="31"/>
      <c r="J771" s="31"/>
    </row>
    <row r="772" spans="3:10" ht="15.75" customHeight="1" x14ac:dyDescent="0.3">
      <c r="C772" s="31"/>
      <c r="F772" s="31"/>
      <c r="I772" s="31"/>
      <c r="J772" s="31"/>
    </row>
    <row r="773" spans="3:10" ht="15.75" customHeight="1" x14ac:dyDescent="0.3">
      <c r="C773" s="31"/>
      <c r="F773" s="31"/>
      <c r="I773" s="31"/>
      <c r="J773" s="31"/>
    </row>
    <row r="774" spans="3:10" ht="15.75" customHeight="1" x14ac:dyDescent="0.3">
      <c r="C774" s="31"/>
      <c r="F774" s="31"/>
      <c r="I774" s="31"/>
      <c r="J774" s="31"/>
    </row>
    <row r="775" spans="3:10" ht="15.75" customHeight="1" x14ac:dyDescent="0.3">
      <c r="C775" s="31"/>
      <c r="F775" s="31"/>
      <c r="I775" s="31"/>
      <c r="J775" s="31"/>
    </row>
    <row r="776" spans="3:10" ht="15.75" customHeight="1" x14ac:dyDescent="0.3">
      <c r="C776" s="31"/>
      <c r="F776" s="31"/>
      <c r="I776" s="31"/>
      <c r="J776" s="31"/>
    </row>
    <row r="777" spans="3:10" ht="15.75" customHeight="1" x14ac:dyDescent="0.3">
      <c r="C777" s="31"/>
      <c r="F777" s="31"/>
      <c r="I777" s="31"/>
      <c r="J777" s="31"/>
    </row>
    <row r="778" spans="3:10" ht="15.75" customHeight="1" x14ac:dyDescent="0.3">
      <c r="C778" s="31"/>
      <c r="F778" s="31"/>
      <c r="I778" s="31"/>
      <c r="J778" s="31"/>
    </row>
    <row r="779" spans="3:10" ht="15.75" customHeight="1" x14ac:dyDescent="0.3">
      <c r="C779" s="31"/>
      <c r="F779" s="31"/>
      <c r="I779" s="31"/>
      <c r="J779" s="31"/>
    </row>
    <row r="780" spans="3:10" ht="15.75" customHeight="1" x14ac:dyDescent="0.3">
      <c r="C780" s="31"/>
      <c r="F780" s="31"/>
      <c r="I780" s="31"/>
      <c r="J780" s="31"/>
    </row>
    <row r="781" spans="3:10" ht="15.75" customHeight="1" x14ac:dyDescent="0.3">
      <c r="C781" s="31"/>
      <c r="F781" s="31"/>
      <c r="I781" s="31"/>
      <c r="J781" s="31"/>
    </row>
    <row r="782" spans="3:10" ht="15.75" customHeight="1" x14ac:dyDescent="0.3">
      <c r="C782" s="31"/>
      <c r="F782" s="31"/>
      <c r="I782" s="31"/>
      <c r="J782" s="31"/>
    </row>
    <row r="783" spans="3:10" ht="15.75" customHeight="1" x14ac:dyDescent="0.3">
      <c r="C783" s="31"/>
      <c r="F783" s="31"/>
      <c r="I783" s="31"/>
      <c r="J783" s="31"/>
    </row>
    <row r="784" spans="3:10" ht="15.75" customHeight="1" x14ac:dyDescent="0.3">
      <c r="C784" s="31"/>
      <c r="F784" s="31"/>
      <c r="I784" s="31"/>
      <c r="J784" s="31"/>
    </row>
    <row r="785" spans="3:10" ht="15.75" customHeight="1" x14ac:dyDescent="0.3">
      <c r="C785" s="31"/>
      <c r="F785" s="31"/>
      <c r="I785" s="31"/>
      <c r="J785" s="31"/>
    </row>
    <row r="786" spans="3:10" ht="15.75" customHeight="1" x14ac:dyDescent="0.3">
      <c r="C786" s="31"/>
      <c r="F786" s="31"/>
      <c r="I786" s="31"/>
      <c r="J786" s="31"/>
    </row>
    <row r="787" spans="3:10" ht="15.75" customHeight="1" x14ac:dyDescent="0.3">
      <c r="C787" s="31"/>
      <c r="F787" s="31"/>
      <c r="I787" s="31"/>
      <c r="J787" s="31"/>
    </row>
    <row r="788" spans="3:10" ht="15.75" customHeight="1" x14ac:dyDescent="0.3">
      <c r="C788" s="31"/>
      <c r="F788" s="31"/>
      <c r="I788" s="31"/>
      <c r="J788" s="31"/>
    </row>
    <row r="789" spans="3:10" ht="15.75" customHeight="1" x14ac:dyDescent="0.3">
      <c r="C789" s="31"/>
      <c r="F789" s="31"/>
      <c r="I789" s="31"/>
      <c r="J789" s="31"/>
    </row>
    <row r="790" spans="3:10" ht="15.75" customHeight="1" x14ac:dyDescent="0.3">
      <c r="C790" s="31"/>
      <c r="F790" s="31"/>
      <c r="I790" s="31"/>
      <c r="J790" s="31"/>
    </row>
    <row r="791" spans="3:10" ht="15.75" customHeight="1" x14ac:dyDescent="0.3">
      <c r="C791" s="31"/>
      <c r="F791" s="31"/>
      <c r="I791" s="31"/>
      <c r="J791" s="31"/>
    </row>
    <row r="792" spans="3:10" ht="15.75" customHeight="1" x14ac:dyDescent="0.3">
      <c r="C792" s="31"/>
      <c r="F792" s="31"/>
      <c r="I792" s="31"/>
      <c r="J792" s="31"/>
    </row>
    <row r="793" spans="3:10" ht="15.75" customHeight="1" x14ac:dyDescent="0.3">
      <c r="C793" s="31"/>
      <c r="F793" s="31"/>
      <c r="I793" s="31"/>
      <c r="J793" s="31"/>
    </row>
    <row r="794" spans="3:10" ht="15.75" customHeight="1" x14ac:dyDescent="0.3">
      <c r="C794" s="31"/>
      <c r="F794" s="31"/>
      <c r="I794" s="31"/>
      <c r="J794" s="31"/>
    </row>
    <row r="795" spans="3:10" ht="15.75" customHeight="1" x14ac:dyDescent="0.3">
      <c r="C795" s="31"/>
      <c r="F795" s="31"/>
      <c r="I795" s="31"/>
      <c r="J795" s="31"/>
    </row>
    <row r="796" spans="3:10" ht="15.75" customHeight="1" x14ac:dyDescent="0.3">
      <c r="C796" s="31"/>
      <c r="F796" s="31"/>
      <c r="I796" s="31"/>
      <c r="J796" s="31"/>
    </row>
    <row r="797" spans="3:10" ht="15.75" customHeight="1" x14ac:dyDescent="0.3">
      <c r="C797" s="31"/>
      <c r="F797" s="31"/>
      <c r="I797" s="31"/>
      <c r="J797" s="31"/>
    </row>
    <row r="798" spans="3:10" ht="15.75" customHeight="1" x14ac:dyDescent="0.3">
      <c r="C798" s="31"/>
      <c r="F798" s="31"/>
      <c r="I798" s="31"/>
      <c r="J798" s="31"/>
    </row>
    <row r="799" spans="3:10" ht="15.75" customHeight="1" x14ac:dyDescent="0.3">
      <c r="C799" s="31"/>
      <c r="F799" s="31"/>
      <c r="I799" s="31"/>
      <c r="J799" s="31"/>
    </row>
    <row r="800" spans="3:10" ht="15.75" customHeight="1" x14ac:dyDescent="0.3">
      <c r="C800" s="31"/>
      <c r="F800" s="31"/>
      <c r="I800" s="31"/>
      <c r="J800" s="31"/>
    </row>
    <row r="801" spans="3:10" ht="15.75" customHeight="1" x14ac:dyDescent="0.3">
      <c r="C801" s="31"/>
      <c r="F801" s="31"/>
      <c r="I801" s="31"/>
      <c r="J801" s="31"/>
    </row>
    <row r="802" spans="3:10" ht="15.75" customHeight="1" x14ac:dyDescent="0.3">
      <c r="C802" s="31"/>
      <c r="F802" s="31"/>
      <c r="I802" s="31"/>
      <c r="J802" s="31"/>
    </row>
    <row r="803" spans="3:10" ht="15.75" customHeight="1" x14ac:dyDescent="0.3">
      <c r="C803" s="31"/>
      <c r="F803" s="31"/>
      <c r="I803" s="31"/>
      <c r="J803" s="31"/>
    </row>
    <row r="804" spans="3:10" ht="15.75" customHeight="1" x14ac:dyDescent="0.3">
      <c r="C804" s="31"/>
      <c r="F804" s="31"/>
      <c r="I804" s="31"/>
      <c r="J804" s="31"/>
    </row>
    <row r="805" spans="3:10" ht="15.75" customHeight="1" x14ac:dyDescent="0.3">
      <c r="C805" s="31"/>
      <c r="F805" s="31"/>
      <c r="I805" s="31"/>
      <c r="J805" s="31"/>
    </row>
    <row r="806" spans="3:10" ht="15.75" customHeight="1" x14ac:dyDescent="0.3">
      <c r="C806" s="31"/>
      <c r="F806" s="31"/>
      <c r="I806" s="31"/>
      <c r="J806" s="31"/>
    </row>
    <row r="807" spans="3:10" ht="15.75" customHeight="1" x14ac:dyDescent="0.3">
      <c r="C807" s="31"/>
      <c r="F807" s="31"/>
      <c r="I807" s="31"/>
      <c r="J807" s="31"/>
    </row>
    <row r="808" spans="3:10" ht="15.75" customHeight="1" x14ac:dyDescent="0.3">
      <c r="C808" s="31"/>
      <c r="F808" s="31"/>
      <c r="I808" s="31"/>
      <c r="J808" s="31"/>
    </row>
    <row r="809" spans="3:10" ht="15.75" customHeight="1" x14ac:dyDescent="0.3">
      <c r="C809" s="31"/>
      <c r="F809" s="31"/>
      <c r="I809" s="31"/>
      <c r="J809" s="31"/>
    </row>
    <row r="810" spans="3:10" ht="15.75" customHeight="1" x14ac:dyDescent="0.3">
      <c r="C810" s="31"/>
      <c r="F810" s="31"/>
      <c r="I810" s="31"/>
      <c r="J810" s="31"/>
    </row>
    <row r="811" spans="3:10" ht="15.75" customHeight="1" x14ac:dyDescent="0.3">
      <c r="C811" s="31"/>
      <c r="F811" s="31"/>
      <c r="I811" s="31"/>
      <c r="J811" s="31"/>
    </row>
    <row r="812" spans="3:10" ht="15.75" customHeight="1" x14ac:dyDescent="0.3">
      <c r="C812" s="31"/>
      <c r="F812" s="31"/>
      <c r="I812" s="31"/>
      <c r="J812" s="31"/>
    </row>
    <row r="813" spans="3:10" ht="15.75" customHeight="1" x14ac:dyDescent="0.3">
      <c r="C813" s="31"/>
      <c r="F813" s="31"/>
      <c r="I813" s="31"/>
      <c r="J813" s="31"/>
    </row>
    <row r="814" spans="3:10" ht="15.75" customHeight="1" x14ac:dyDescent="0.3">
      <c r="C814" s="31"/>
      <c r="F814" s="31"/>
      <c r="I814" s="31"/>
      <c r="J814" s="31"/>
    </row>
    <row r="815" spans="3:10" ht="15.75" customHeight="1" x14ac:dyDescent="0.3">
      <c r="C815" s="31"/>
      <c r="F815" s="31"/>
      <c r="I815" s="31"/>
      <c r="J815" s="31"/>
    </row>
    <row r="816" spans="3:10" ht="15.75" customHeight="1" x14ac:dyDescent="0.3">
      <c r="C816" s="31"/>
      <c r="F816" s="31"/>
      <c r="I816" s="31"/>
      <c r="J816" s="31"/>
    </row>
    <row r="817" spans="3:10" ht="15.75" customHeight="1" x14ac:dyDescent="0.3">
      <c r="C817" s="31"/>
      <c r="F817" s="31"/>
      <c r="I817" s="31"/>
      <c r="J817" s="31"/>
    </row>
    <row r="818" spans="3:10" ht="15.75" customHeight="1" x14ac:dyDescent="0.3">
      <c r="C818" s="31"/>
      <c r="F818" s="31"/>
      <c r="I818" s="31"/>
      <c r="J818" s="31"/>
    </row>
    <row r="819" spans="3:10" ht="15.75" customHeight="1" x14ac:dyDescent="0.3">
      <c r="C819" s="31"/>
      <c r="F819" s="31"/>
      <c r="I819" s="31"/>
      <c r="J819" s="31"/>
    </row>
    <row r="820" spans="3:10" ht="15.75" customHeight="1" x14ac:dyDescent="0.3">
      <c r="C820" s="31"/>
      <c r="F820" s="31"/>
      <c r="I820" s="31"/>
      <c r="J820" s="31"/>
    </row>
    <row r="821" spans="3:10" ht="15.75" customHeight="1" x14ac:dyDescent="0.3">
      <c r="C821" s="31"/>
      <c r="F821" s="31"/>
      <c r="I821" s="31"/>
      <c r="J821" s="31"/>
    </row>
    <row r="822" spans="3:10" ht="15.75" customHeight="1" x14ac:dyDescent="0.3">
      <c r="C822" s="31"/>
      <c r="F822" s="31"/>
      <c r="I822" s="31"/>
      <c r="J822" s="31"/>
    </row>
    <row r="823" spans="3:10" ht="15.75" customHeight="1" x14ac:dyDescent="0.3">
      <c r="C823" s="31"/>
      <c r="F823" s="31"/>
      <c r="I823" s="31"/>
      <c r="J823" s="31"/>
    </row>
    <row r="824" spans="3:10" ht="15.75" customHeight="1" x14ac:dyDescent="0.3">
      <c r="C824" s="31"/>
      <c r="F824" s="31"/>
      <c r="I824" s="31"/>
      <c r="J824" s="31"/>
    </row>
    <row r="825" spans="3:10" ht="15.75" customHeight="1" x14ac:dyDescent="0.3">
      <c r="C825" s="31"/>
      <c r="F825" s="31"/>
      <c r="I825" s="31"/>
      <c r="J825" s="31"/>
    </row>
    <row r="826" spans="3:10" ht="15.75" customHeight="1" x14ac:dyDescent="0.3">
      <c r="C826" s="31"/>
      <c r="F826" s="31"/>
      <c r="I826" s="31"/>
      <c r="J826" s="31"/>
    </row>
    <row r="827" spans="3:10" ht="15.75" customHeight="1" x14ac:dyDescent="0.3">
      <c r="C827" s="31"/>
      <c r="F827" s="31"/>
      <c r="I827" s="31"/>
      <c r="J827" s="31"/>
    </row>
    <row r="828" spans="3:10" ht="15.75" customHeight="1" x14ac:dyDescent="0.3">
      <c r="C828" s="31"/>
      <c r="F828" s="31"/>
      <c r="I828" s="31"/>
      <c r="J828" s="31"/>
    </row>
    <row r="829" spans="3:10" ht="15.75" customHeight="1" x14ac:dyDescent="0.3">
      <c r="C829" s="31"/>
      <c r="F829" s="31"/>
      <c r="I829" s="31"/>
      <c r="J829" s="31"/>
    </row>
    <row r="830" spans="3:10" ht="15.75" customHeight="1" x14ac:dyDescent="0.3">
      <c r="C830" s="31"/>
      <c r="F830" s="31"/>
      <c r="I830" s="31"/>
      <c r="J830" s="31"/>
    </row>
    <row r="831" spans="3:10" ht="15.75" customHeight="1" x14ac:dyDescent="0.3">
      <c r="C831" s="31"/>
      <c r="F831" s="31"/>
      <c r="I831" s="31"/>
      <c r="J831" s="31"/>
    </row>
    <row r="832" spans="3:10" ht="15.75" customHeight="1" x14ac:dyDescent="0.3">
      <c r="C832" s="31"/>
      <c r="F832" s="31"/>
      <c r="I832" s="31"/>
      <c r="J832" s="31"/>
    </row>
    <row r="833" spans="3:10" ht="15.75" customHeight="1" x14ac:dyDescent="0.3">
      <c r="C833" s="31"/>
      <c r="F833" s="31"/>
      <c r="I833" s="31"/>
      <c r="J833" s="31"/>
    </row>
    <row r="834" spans="3:10" ht="15.75" customHeight="1" x14ac:dyDescent="0.3">
      <c r="C834" s="31"/>
      <c r="F834" s="31"/>
      <c r="I834" s="31"/>
      <c r="J834" s="31"/>
    </row>
    <row r="835" spans="3:10" ht="15.75" customHeight="1" x14ac:dyDescent="0.3">
      <c r="C835" s="31"/>
      <c r="F835" s="31"/>
      <c r="I835" s="31"/>
      <c r="J835" s="31"/>
    </row>
    <row r="836" spans="3:10" ht="15.75" customHeight="1" x14ac:dyDescent="0.3">
      <c r="C836" s="31"/>
      <c r="F836" s="31"/>
      <c r="I836" s="31"/>
      <c r="J836" s="31"/>
    </row>
    <row r="837" spans="3:10" ht="15.75" customHeight="1" x14ac:dyDescent="0.3">
      <c r="C837" s="31"/>
      <c r="F837" s="31"/>
      <c r="I837" s="31"/>
      <c r="J837" s="31"/>
    </row>
    <row r="838" spans="3:10" ht="15.75" customHeight="1" x14ac:dyDescent="0.3">
      <c r="C838" s="31"/>
      <c r="F838" s="31"/>
      <c r="I838" s="31"/>
      <c r="J838" s="31"/>
    </row>
    <row r="839" spans="3:10" ht="15.75" customHeight="1" x14ac:dyDescent="0.3">
      <c r="C839" s="31"/>
      <c r="F839" s="31"/>
      <c r="I839" s="31"/>
      <c r="J839" s="31"/>
    </row>
    <row r="840" spans="3:10" ht="15.75" customHeight="1" x14ac:dyDescent="0.3">
      <c r="C840" s="31"/>
      <c r="F840" s="31"/>
      <c r="I840" s="31"/>
      <c r="J840" s="31"/>
    </row>
    <row r="841" spans="3:10" ht="15.75" customHeight="1" x14ac:dyDescent="0.3">
      <c r="C841" s="31"/>
      <c r="F841" s="31"/>
      <c r="I841" s="31"/>
      <c r="J841" s="31"/>
    </row>
    <row r="842" spans="3:10" ht="15.75" customHeight="1" x14ac:dyDescent="0.3">
      <c r="C842" s="31"/>
      <c r="F842" s="31"/>
      <c r="I842" s="31"/>
      <c r="J842" s="31"/>
    </row>
    <row r="843" spans="3:10" ht="15.75" customHeight="1" x14ac:dyDescent="0.3">
      <c r="C843" s="31"/>
      <c r="F843" s="31"/>
      <c r="I843" s="31"/>
      <c r="J843" s="31"/>
    </row>
    <row r="844" spans="3:10" ht="15.75" customHeight="1" x14ac:dyDescent="0.3">
      <c r="C844" s="31"/>
      <c r="F844" s="31"/>
      <c r="I844" s="31"/>
      <c r="J844" s="31"/>
    </row>
    <row r="845" spans="3:10" ht="15.75" customHeight="1" x14ac:dyDescent="0.3">
      <c r="C845" s="31"/>
      <c r="F845" s="31"/>
      <c r="I845" s="31"/>
      <c r="J845" s="31"/>
    </row>
    <row r="846" spans="3:10" ht="15.75" customHeight="1" x14ac:dyDescent="0.3">
      <c r="C846" s="31"/>
      <c r="F846" s="31"/>
      <c r="I846" s="31"/>
      <c r="J846" s="31"/>
    </row>
    <row r="847" spans="3:10" ht="15.75" customHeight="1" x14ac:dyDescent="0.3">
      <c r="C847" s="31"/>
      <c r="F847" s="31"/>
      <c r="I847" s="31"/>
      <c r="J847" s="31"/>
    </row>
    <row r="848" spans="3:10" ht="15.75" customHeight="1" x14ac:dyDescent="0.3">
      <c r="C848" s="31"/>
      <c r="F848" s="31"/>
      <c r="I848" s="31"/>
      <c r="J848" s="31"/>
    </row>
    <row r="849" spans="3:10" ht="15.75" customHeight="1" x14ac:dyDescent="0.3">
      <c r="C849" s="31"/>
      <c r="F849" s="31"/>
      <c r="I849" s="31"/>
      <c r="J849" s="31"/>
    </row>
    <row r="850" spans="3:10" ht="15.75" customHeight="1" x14ac:dyDescent="0.3">
      <c r="C850" s="31"/>
      <c r="F850" s="31"/>
      <c r="I850" s="31"/>
      <c r="J850" s="31"/>
    </row>
    <row r="851" spans="3:10" ht="15.75" customHeight="1" x14ac:dyDescent="0.3">
      <c r="C851" s="31"/>
      <c r="F851" s="31"/>
      <c r="I851" s="31"/>
      <c r="J851" s="31"/>
    </row>
    <row r="852" spans="3:10" ht="15.75" customHeight="1" x14ac:dyDescent="0.3">
      <c r="C852" s="31"/>
      <c r="F852" s="31"/>
      <c r="I852" s="31"/>
      <c r="J852" s="31"/>
    </row>
    <row r="853" spans="3:10" ht="15.75" customHeight="1" x14ac:dyDescent="0.3">
      <c r="C853" s="31"/>
      <c r="F853" s="31"/>
      <c r="I853" s="31"/>
      <c r="J853" s="31"/>
    </row>
    <row r="854" spans="3:10" ht="15.75" customHeight="1" x14ac:dyDescent="0.3">
      <c r="C854" s="31"/>
      <c r="F854" s="31"/>
      <c r="I854" s="31"/>
      <c r="J854" s="31"/>
    </row>
    <row r="855" spans="3:10" ht="15.75" customHeight="1" x14ac:dyDescent="0.3">
      <c r="C855" s="31"/>
      <c r="F855" s="31"/>
      <c r="I855" s="31"/>
      <c r="J855" s="31"/>
    </row>
    <row r="856" spans="3:10" ht="15.75" customHeight="1" x14ac:dyDescent="0.3">
      <c r="C856" s="31"/>
      <c r="F856" s="31"/>
      <c r="I856" s="31"/>
      <c r="J856" s="31"/>
    </row>
    <row r="857" spans="3:10" ht="15.75" customHeight="1" x14ac:dyDescent="0.3">
      <c r="C857" s="31"/>
      <c r="F857" s="31"/>
      <c r="I857" s="31"/>
      <c r="J857" s="31"/>
    </row>
    <row r="858" spans="3:10" ht="15.75" customHeight="1" x14ac:dyDescent="0.3">
      <c r="C858" s="31"/>
      <c r="F858" s="31"/>
      <c r="I858" s="31"/>
      <c r="J858" s="31"/>
    </row>
    <row r="859" spans="3:10" ht="15.75" customHeight="1" x14ac:dyDescent="0.3">
      <c r="C859" s="31"/>
      <c r="F859" s="31"/>
      <c r="I859" s="31"/>
      <c r="J859" s="31"/>
    </row>
    <row r="860" spans="3:10" ht="15.75" customHeight="1" x14ac:dyDescent="0.3">
      <c r="C860" s="31"/>
      <c r="F860" s="31"/>
      <c r="I860" s="31"/>
      <c r="J860" s="31"/>
    </row>
    <row r="861" spans="3:10" ht="15.75" customHeight="1" x14ac:dyDescent="0.3">
      <c r="C861" s="31"/>
      <c r="F861" s="31"/>
      <c r="I861" s="31"/>
      <c r="J861" s="31"/>
    </row>
    <row r="862" spans="3:10" ht="15.75" customHeight="1" x14ac:dyDescent="0.3">
      <c r="C862" s="31"/>
      <c r="F862" s="31"/>
      <c r="I862" s="31"/>
      <c r="J862" s="31"/>
    </row>
    <row r="863" spans="3:10" ht="15.75" customHeight="1" x14ac:dyDescent="0.3">
      <c r="C863" s="31"/>
      <c r="F863" s="31"/>
      <c r="I863" s="31"/>
      <c r="J863" s="31"/>
    </row>
    <row r="864" spans="3:10" ht="15.75" customHeight="1" x14ac:dyDescent="0.3">
      <c r="C864" s="31"/>
      <c r="F864" s="31"/>
      <c r="I864" s="31"/>
      <c r="J864" s="31"/>
    </row>
    <row r="865" spans="3:10" ht="15.75" customHeight="1" x14ac:dyDescent="0.3">
      <c r="C865" s="31"/>
      <c r="F865" s="31"/>
      <c r="I865" s="31"/>
      <c r="J865" s="31"/>
    </row>
    <row r="866" spans="3:10" ht="15.75" customHeight="1" x14ac:dyDescent="0.3">
      <c r="C866" s="31"/>
      <c r="F866" s="31"/>
      <c r="I866" s="31"/>
      <c r="J866" s="31"/>
    </row>
    <row r="867" spans="3:10" ht="15.75" customHeight="1" x14ac:dyDescent="0.3">
      <c r="C867" s="31"/>
      <c r="F867" s="31"/>
      <c r="I867" s="31"/>
      <c r="J867" s="31"/>
    </row>
    <row r="868" spans="3:10" ht="15.75" customHeight="1" x14ac:dyDescent="0.3">
      <c r="C868" s="31"/>
      <c r="F868" s="31"/>
      <c r="I868" s="31"/>
      <c r="J868" s="31"/>
    </row>
    <row r="869" spans="3:10" ht="15.75" customHeight="1" x14ac:dyDescent="0.3">
      <c r="C869" s="31"/>
      <c r="F869" s="31"/>
      <c r="I869" s="31"/>
      <c r="J869" s="31"/>
    </row>
    <row r="870" spans="3:10" ht="15.75" customHeight="1" x14ac:dyDescent="0.3">
      <c r="C870" s="31"/>
      <c r="F870" s="31"/>
      <c r="I870" s="31"/>
      <c r="J870" s="31"/>
    </row>
    <row r="871" spans="3:10" ht="15.75" customHeight="1" x14ac:dyDescent="0.3">
      <c r="C871" s="31"/>
      <c r="F871" s="31"/>
      <c r="I871" s="31"/>
      <c r="J871" s="31"/>
    </row>
    <row r="872" spans="3:10" ht="15.75" customHeight="1" x14ac:dyDescent="0.3">
      <c r="C872" s="31"/>
      <c r="F872" s="31"/>
      <c r="I872" s="31"/>
      <c r="J872" s="31"/>
    </row>
    <row r="873" spans="3:10" ht="15.75" customHeight="1" x14ac:dyDescent="0.3">
      <c r="C873" s="31"/>
      <c r="F873" s="31"/>
      <c r="I873" s="31"/>
      <c r="J873" s="31"/>
    </row>
    <row r="874" spans="3:10" ht="15.75" customHeight="1" x14ac:dyDescent="0.3">
      <c r="C874" s="31"/>
      <c r="F874" s="31"/>
      <c r="I874" s="31"/>
      <c r="J874" s="31"/>
    </row>
    <row r="875" spans="3:10" ht="15.75" customHeight="1" x14ac:dyDescent="0.3">
      <c r="C875" s="31"/>
      <c r="F875" s="31"/>
      <c r="I875" s="31"/>
      <c r="J875" s="31"/>
    </row>
    <row r="876" spans="3:10" ht="15.75" customHeight="1" x14ac:dyDescent="0.3">
      <c r="C876" s="31"/>
      <c r="F876" s="31"/>
      <c r="I876" s="31"/>
      <c r="J876" s="31"/>
    </row>
    <row r="877" spans="3:10" ht="15.75" customHeight="1" x14ac:dyDescent="0.3">
      <c r="C877" s="31"/>
      <c r="F877" s="31"/>
      <c r="I877" s="31"/>
      <c r="J877" s="31"/>
    </row>
    <row r="878" spans="3:10" ht="15.75" customHeight="1" x14ac:dyDescent="0.3">
      <c r="C878" s="31"/>
      <c r="F878" s="31"/>
      <c r="I878" s="31"/>
      <c r="J878" s="31"/>
    </row>
    <row r="879" spans="3:10" ht="15.75" customHeight="1" x14ac:dyDescent="0.3">
      <c r="C879" s="31"/>
      <c r="F879" s="31"/>
      <c r="I879" s="31"/>
      <c r="J879" s="31"/>
    </row>
    <row r="880" spans="3:10" ht="15.75" customHeight="1" x14ac:dyDescent="0.3">
      <c r="C880" s="31"/>
      <c r="F880" s="31"/>
      <c r="I880" s="31"/>
      <c r="J880" s="31"/>
    </row>
    <row r="881" spans="3:10" ht="15.75" customHeight="1" x14ac:dyDescent="0.3">
      <c r="C881" s="31"/>
      <c r="F881" s="31"/>
      <c r="I881" s="31"/>
      <c r="J881" s="31"/>
    </row>
    <row r="882" spans="3:10" ht="15.75" customHeight="1" x14ac:dyDescent="0.3">
      <c r="C882" s="31"/>
      <c r="F882" s="31"/>
      <c r="I882" s="31"/>
      <c r="J882" s="31"/>
    </row>
    <row r="883" spans="3:10" ht="15.75" customHeight="1" x14ac:dyDescent="0.3">
      <c r="C883" s="31"/>
      <c r="F883" s="31"/>
      <c r="I883" s="31"/>
      <c r="J883" s="31"/>
    </row>
    <row r="884" spans="3:10" ht="15.75" customHeight="1" x14ac:dyDescent="0.3">
      <c r="C884" s="31"/>
      <c r="F884" s="31"/>
      <c r="I884" s="31"/>
      <c r="J884" s="31"/>
    </row>
    <row r="885" spans="3:10" ht="15.75" customHeight="1" x14ac:dyDescent="0.3">
      <c r="C885" s="31"/>
      <c r="F885" s="31"/>
      <c r="I885" s="31"/>
      <c r="J885" s="31"/>
    </row>
    <row r="886" spans="3:10" ht="15.75" customHeight="1" x14ac:dyDescent="0.3">
      <c r="C886" s="31"/>
      <c r="F886" s="31"/>
      <c r="I886" s="31"/>
      <c r="J886" s="31"/>
    </row>
    <row r="887" spans="3:10" ht="15.75" customHeight="1" x14ac:dyDescent="0.3">
      <c r="C887" s="31"/>
      <c r="F887" s="31"/>
      <c r="I887" s="31"/>
      <c r="J887" s="31"/>
    </row>
    <row r="888" spans="3:10" ht="15.75" customHeight="1" x14ac:dyDescent="0.3">
      <c r="C888" s="31"/>
      <c r="F888" s="31"/>
      <c r="I888" s="31"/>
      <c r="J888" s="31"/>
    </row>
    <row r="889" spans="3:10" ht="15.75" customHeight="1" x14ac:dyDescent="0.3">
      <c r="C889" s="31"/>
      <c r="F889" s="31"/>
      <c r="I889" s="31"/>
      <c r="J889" s="31"/>
    </row>
    <row r="890" spans="3:10" ht="15.75" customHeight="1" x14ac:dyDescent="0.3">
      <c r="C890" s="31"/>
      <c r="F890" s="31"/>
      <c r="I890" s="31"/>
      <c r="J890" s="31"/>
    </row>
    <row r="891" spans="3:10" ht="15.75" customHeight="1" x14ac:dyDescent="0.3">
      <c r="C891" s="31"/>
      <c r="F891" s="31"/>
      <c r="I891" s="31"/>
      <c r="J891" s="31"/>
    </row>
    <row r="892" spans="3:10" ht="15.75" customHeight="1" x14ac:dyDescent="0.3">
      <c r="C892" s="31"/>
      <c r="F892" s="31"/>
      <c r="I892" s="31"/>
      <c r="J892" s="31"/>
    </row>
    <row r="893" spans="3:10" ht="15.75" customHeight="1" x14ac:dyDescent="0.3">
      <c r="C893" s="31"/>
      <c r="F893" s="31"/>
      <c r="I893" s="31"/>
      <c r="J893" s="31"/>
    </row>
    <row r="894" spans="3:10" ht="15.75" customHeight="1" x14ac:dyDescent="0.3">
      <c r="C894" s="31"/>
      <c r="F894" s="31"/>
      <c r="I894" s="31"/>
      <c r="J894" s="31"/>
    </row>
    <row r="895" spans="3:10" ht="15.75" customHeight="1" x14ac:dyDescent="0.3">
      <c r="C895" s="31"/>
      <c r="F895" s="31"/>
      <c r="I895" s="31"/>
      <c r="J895" s="31"/>
    </row>
    <row r="896" spans="3:10" ht="15.75" customHeight="1" x14ac:dyDescent="0.3">
      <c r="C896" s="31"/>
      <c r="F896" s="31"/>
      <c r="I896" s="31"/>
      <c r="J896" s="31"/>
    </row>
    <row r="897" spans="3:10" ht="15.75" customHeight="1" x14ac:dyDescent="0.3">
      <c r="C897" s="31"/>
      <c r="F897" s="31"/>
      <c r="I897" s="31"/>
      <c r="J897" s="31"/>
    </row>
    <row r="898" spans="3:10" ht="15.75" customHeight="1" x14ac:dyDescent="0.3">
      <c r="C898" s="31"/>
      <c r="F898" s="31"/>
      <c r="I898" s="31"/>
      <c r="J898" s="31"/>
    </row>
    <row r="899" spans="3:10" ht="15.75" customHeight="1" x14ac:dyDescent="0.3">
      <c r="C899" s="31"/>
      <c r="F899" s="31"/>
      <c r="I899" s="31"/>
      <c r="J899" s="31"/>
    </row>
    <row r="900" spans="3:10" ht="15.75" customHeight="1" x14ac:dyDescent="0.3">
      <c r="C900" s="31"/>
      <c r="F900" s="31"/>
      <c r="I900" s="31"/>
      <c r="J900" s="31"/>
    </row>
    <row r="901" spans="3:10" ht="15.75" customHeight="1" x14ac:dyDescent="0.3">
      <c r="C901" s="31"/>
      <c r="F901" s="31"/>
      <c r="I901" s="31"/>
      <c r="J901" s="31"/>
    </row>
    <row r="902" spans="3:10" ht="15.75" customHeight="1" x14ac:dyDescent="0.3">
      <c r="C902" s="31"/>
      <c r="F902" s="31"/>
      <c r="I902" s="31"/>
      <c r="J902" s="31"/>
    </row>
    <row r="903" spans="3:10" ht="15.75" customHeight="1" x14ac:dyDescent="0.3">
      <c r="C903" s="31"/>
      <c r="F903" s="31"/>
      <c r="I903" s="31"/>
      <c r="J903" s="31"/>
    </row>
    <row r="904" spans="3:10" ht="15.75" customHeight="1" x14ac:dyDescent="0.3">
      <c r="C904" s="31"/>
      <c r="F904" s="31"/>
      <c r="I904" s="31"/>
      <c r="J904" s="31"/>
    </row>
    <row r="905" spans="3:10" ht="15.75" customHeight="1" x14ac:dyDescent="0.3">
      <c r="C905" s="31"/>
      <c r="F905" s="31"/>
      <c r="I905" s="31"/>
      <c r="J905" s="31"/>
    </row>
    <row r="906" spans="3:10" ht="15.75" customHeight="1" x14ac:dyDescent="0.3">
      <c r="C906" s="31"/>
      <c r="F906" s="31"/>
      <c r="I906" s="31"/>
      <c r="J906" s="31"/>
    </row>
    <row r="907" spans="3:10" ht="15.75" customHeight="1" x14ac:dyDescent="0.3">
      <c r="C907" s="31"/>
      <c r="F907" s="31"/>
      <c r="I907" s="31"/>
      <c r="J907" s="31"/>
    </row>
    <row r="908" spans="3:10" ht="15.75" customHeight="1" x14ac:dyDescent="0.3">
      <c r="C908" s="31"/>
      <c r="F908" s="31"/>
      <c r="I908" s="31"/>
      <c r="J908" s="31"/>
    </row>
    <row r="909" spans="3:10" ht="15.75" customHeight="1" x14ac:dyDescent="0.3">
      <c r="C909" s="31"/>
      <c r="F909" s="31"/>
      <c r="I909" s="31"/>
      <c r="J909" s="31"/>
    </row>
    <row r="910" spans="3:10" ht="15.75" customHeight="1" x14ac:dyDescent="0.3">
      <c r="C910" s="31"/>
      <c r="F910" s="31"/>
      <c r="I910" s="31"/>
      <c r="J910" s="31"/>
    </row>
    <row r="911" spans="3:10" ht="15.75" customHeight="1" x14ac:dyDescent="0.3">
      <c r="C911" s="31"/>
      <c r="F911" s="31"/>
      <c r="I911" s="31"/>
      <c r="J911" s="31"/>
    </row>
    <row r="912" spans="3:10" ht="15.75" customHeight="1" x14ac:dyDescent="0.3">
      <c r="C912" s="31"/>
      <c r="F912" s="31"/>
      <c r="I912" s="31"/>
      <c r="J912" s="31"/>
    </row>
    <row r="913" spans="3:10" ht="15.75" customHeight="1" x14ac:dyDescent="0.3">
      <c r="C913" s="31"/>
      <c r="F913" s="31"/>
      <c r="I913" s="31"/>
      <c r="J913" s="31"/>
    </row>
    <row r="914" spans="3:10" ht="15.75" customHeight="1" x14ac:dyDescent="0.3">
      <c r="C914" s="31"/>
      <c r="F914" s="31"/>
      <c r="I914" s="31"/>
      <c r="J914" s="31"/>
    </row>
    <row r="915" spans="3:10" ht="15.75" customHeight="1" x14ac:dyDescent="0.3">
      <c r="C915" s="31"/>
      <c r="F915" s="31"/>
      <c r="I915" s="31"/>
      <c r="J915" s="31"/>
    </row>
    <row r="916" spans="3:10" ht="15.75" customHeight="1" x14ac:dyDescent="0.3">
      <c r="C916" s="31"/>
      <c r="F916" s="31"/>
      <c r="I916" s="31"/>
      <c r="J916" s="31"/>
    </row>
    <row r="917" spans="3:10" ht="15.75" customHeight="1" x14ac:dyDescent="0.3">
      <c r="C917" s="31"/>
      <c r="F917" s="31"/>
      <c r="I917" s="31"/>
      <c r="J917" s="31"/>
    </row>
    <row r="918" spans="3:10" ht="15.75" customHeight="1" x14ac:dyDescent="0.3">
      <c r="C918" s="31"/>
      <c r="F918" s="31"/>
      <c r="I918" s="31"/>
      <c r="J918" s="31"/>
    </row>
    <row r="919" spans="3:10" ht="15.75" customHeight="1" x14ac:dyDescent="0.3">
      <c r="C919" s="31"/>
      <c r="F919" s="31"/>
      <c r="I919" s="31"/>
      <c r="J919" s="31"/>
    </row>
    <row r="920" spans="3:10" ht="15.75" customHeight="1" x14ac:dyDescent="0.3">
      <c r="C920" s="31"/>
      <c r="F920" s="31"/>
      <c r="I920" s="31"/>
      <c r="J920" s="31"/>
    </row>
    <row r="921" spans="3:10" ht="15.75" customHeight="1" x14ac:dyDescent="0.3">
      <c r="C921" s="31"/>
      <c r="F921" s="31"/>
      <c r="I921" s="31"/>
      <c r="J921" s="31"/>
    </row>
    <row r="922" spans="3:10" ht="15.75" customHeight="1" x14ac:dyDescent="0.3">
      <c r="C922" s="31"/>
      <c r="F922" s="31"/>
      <c r="I922" s="31"/>
      <c r="J922" s="31"/>
    </row>
    <row r="923" spans="3:10" ht="15.75" customHeight="1" x14ac:dyDescent="0.3">
      <c r="C923" s="31"/>
      <c r="F923" s="31"/>
      <c r="I923" s="31"/>
      <c r="J923" s="31"/>
    </row>
    <row r="924" spans="3:10" ht="15.75" customHeight="1" x14ac:dyDescent="0.3">
      <c r="C924" s="31"/>
      <c r="F924" s="31"/>
      <c r="I924" s="31"/>
      <c r="J924" s="31"/>
    </row>
    <row r="925" spans="3:10" ht="15.75" customHeight="1" x14ac:dyDescent="0.3">
      <c r="C925" s="31"/>
      <c r="F925" s="31"/>
      <c r="I925" s="31"/>
      <c r="J925" s="31"/>
    </row>
    <row r="926" spans="3:10" ht="15.75" customHeight="1" x14ac:dyDescent="0.3">
      <c r="C926" s="31"/>
      <c r="F926" s="31"/>
      <c r="I926" s="31"/>
      <c r="J926" s="31"/>
    </row>
    <row r="927" spans="3:10" ht="15.75" customHeight="1" x14ac:dyDescent="0.3">
      <c r="C927" s="31"/>
      <c r="F927" s="31"/>
      <c r="I927" s="31"/>
      <c r="J927" s="31"/>
    </row>
    <row r="928" spans="3:10" ht="15.75" customHeight="1" x14ac:dyDescent="0.3">
      <c r="C928" s="31"/>
      <c r="F928" s="31"/>
      <c r="I928" s="31"/>
      <c r="J928" s="31"/>
    </row>
    <row r="929" spans="3:10" ht="15.75" customHeight="1" x14ac:dyDescent="0.3">
      <c r="C929" s="31"/>
      <c r="F929" s="31"/>
      <c r="I929" s="31"/>
      <c r="J929" s="31"/>
    </row>
    <row r="930" spans="3:10" ht="15.75" customHeight="1" x14ac:dyDescent="0.3">
      <c r="C930" s="31"/>
      <c r="F930" s="31"/>
      <c r="I930" s="31"/>
      <c r="J930" s="31"/>
    </row>
    <row r="931" spans="3:10" ht="15.75" customHeight="1" x14ac:dyDescent="0.3">
      <c r="C931" s="31"/>
      <c r="F931" s="31"/>
      <c r="I931" s="31"/>
      <c r="J931" s="31"/>
    </row>
    <row r="932" spans="3:10" ht="15.75" customHeight="1" x14ac:dyDescent="0.3">
      <c r="C932" s="31"/>
      <c r="F932" s="31"/>
      <c r="I932" s="31"/>
      <c r="J932" s="31"/>
    </row>
    <row r="933" spans="3:10" ht="15.75" customHeight="1" x14ac:dyDescent="0.3">
      <c r="C933" s="31"/>
      <c r="F933" s="31"/>
      <c r="I933" s="31"/>
      <c r="J933" s="31"/>
    </row>
    <row r="934" spans="3:10" ht="15.75" customHeight="1" x14ac:dyDescent="0.3">
      <c r="C934" s="31"/>
      <c r="F934" s="31"/>
      <c r="I934" s="31"/>
      <c r="J934" s="31"/>
    </row>
    <row r="935" spans="3:10" ht="15.75" customHeight="1" x14ac:dyDescent="0.3">
      <c r="C935" s="31"/>
      <c r="F935" s="31"/>
      <c r="I935" s="31"/>
      <c r="J935" s="31"/>
    </row>
    <row r="936" spans="3:10" ht="15.75" customHeight="1" x14ac:dyDescent="0.3">
      <c r="C936" s="31"/>
      <c r="F936" s="31"/>
      <c r="I936" s="31"/>
      <c r="J936" s="31"/>
    </row>
    <row r="937" spans="3:10" ht="15.75" customHeight="1" x14ac:dyDescent="0.3">
      <c r="C937" s="31"/>
      <c r="F937" s="31"/>
      <c r="I937" s="31"/>
      <c r="J937" s="31"/>
    </row>
    <row r="938" spans="3:10" ht="15.75" customHeight="1" x14ac:dyDescent="0.3">
      <c r="C938" s="31"/>
      <c r="F938" s="31"/>
      <c r="I938" s="31"/>
      <c r="J938" s="31"/>
    </row>
    <row r="939" spans="3:10" ht="15.75" customHeight="1" x14ac:dyDescent="0.3">
      <c r="C939" s="31"/>
      <c r="F939" s="31"/>
      <c r="I939" s="31"/>
      <c r="J939" s="31"/>
    </row>
    <row r="940" spans="3:10" ht="15.75" customHeight="1" x14ac:dyDescent="0.3">
      <c r="C940" s="31"/>
      <c r="F940" s="31"/>
      <c r="I940" s="31"/>
      <c r="J940" s="31"/>
    </row>
    <row r="941" spans="3:10" ht="15.75" customHeight="1" x14ac:dyDescent="0.3">
      <c r="C941" s="31"/>
      <c r="F941" s="31"/>
      <c r="I941" s="31"/>
      <c r="J941" s="31"/>
    </row>
    <row r="942" spans="3:10" ht="15.75" customHeight="1" x14ac:dyDescent="0.3">
      <c r="C942" s="31"/>
      <c r="F942" s="31"/>
      <c r="I942" s="31"/>
      <c r="J942" s="31"/>
    </row>
    <row r="943" spans="3:10" ht="15.75" customHeight="1" x14ac:dyDescent="0.3">
      <c r="C943" s="31"/>
      <c r="F943" s="31"/>
      <c r="I943" s="31"/>
      <c r="J943" s="31"/>
    </row>
    <row r="944" spans="3:10" ht="15.75" customHeight="1" x14ac:dyDescent="0.3">
      <c r="C944" s="31"/>
      <c r="F944" s="31"/>
      <c r="I944" s="31"/>
      <c r="J944" s="31"/>
    </row>
    <row r="945" spans="3:10" ht="15.75" customHeight="1" x14ac:dyDescent="0.3">
      <c r="C945" s="31"/>
      <c r="F945" s="31"/>
      <c r="I945" s="31"/>
      <c r="J945" s="31"/>
    </row>
    <row r="946" spans="3:10" ht="15.75" customHeight="1" x14ac:dyDescent="0.3">
      <c r="C946" s="31"/>
      <c r="F946" s="31"/>
      <c r="I946" s="31"/>
      <c r="J946" s="31"/>
    </row>
    <row r="947" spans="3:10" ht="15.75" customHeight="1" x14ac:dyDescent="0.3">
      <c r="C947" s="31"/>
      <c r="F947" s="31"/>
      <c r="I947" s="31"/>
      <c r="J947" s="31"/>
    </row>
    <row r="948" spans="3:10" ht="15.75" customHeight="1" x14ac:dyDescent="0.3">
      <c r="C948" s="31"/>
      <c r="F948" s="31"/>
      <c r="I948" s="31"/>
      <c r="J948" s="31"/>
    </row>
    <row r="949" spans="3:10" ht="15.75" customHeight="1" x14ac:dyDescent="0.3">
      <c r="C949" s="31"/>
      <c r="F949" s="31"/>
      <c r="I949" s="31"/>
      <c r="J949" s="31"/>
    </row>
    <row r="950" spans="3:10" ht="15.75" customHeight="1" x14ac:dyDescent="0.3">
      <c r="C950" s="31"/>
      <c r="F950" s="31"/>
      <c r="I950" s="31"/>
      <c r="J950" s="31"/>
    </row>
    <row r="951" spans="3:10" ht="15.75" customHeight="1" x14ac:dyDescent="0.3">
      <c r="C951" s="31"/>
      <c r="F951" s="31"/>
      <c r="I951" s="31"/>
      <c r="J951" s="31"/>
    </row>
    <row r="952" spans="3:10" ht="15.75" customHeight="1" x14ac:dyDescent="0.3">
      <c r="C952" s="31"/>
      <c r="F952" s="31"/>
      <c r="I952" s="31"/>
      <c r="J952" s="31"/>
    </row>
    <row r="953" spans="3:10" ht="15.75" customHeight="1" x14ac:dyDescent="0.3">
      <c r="C953" s="31"/>
      <c r="F953" s="31"/>
      <c r="I953" s="31"/>
      <c r="J953" s="31"/>
    </row>
    <row r="954" spans="3:10" ht="15.75" customHeight="1" x14ac:dyDescent="0.3">
      <c r="C954" s="31"/>
      <c r="F954" s="31"/>
      <c r="I954" s="31"/>
      <c r="J954" s="31"/>
    </row>
    <row r="955" spans="3:10" ht="15.75" customHeight="1" x14ac:dyDescent="0.3">
      <c r="C955" s="31"/>
      <c r="F955" s="31"/>
      <c r="I955" s="31"/>
      <c r="J955" s="31"/>
    </row>
    <row r="956" spans="3:10" ht="15.75" customHeight="1" x14ac:dyDescent="0.3">
      <c r="C956" s="31"/>
      <c r="F956" s="31"/>
      <c r="I956" s="31"/>
      <c r="J956" s="31"/>
    </row>
    <row r="957" spans="3:10" ht="15.75" customHeight="1" x14ac:dyDescent="0.3">
      <c r="C957" s="31"/>
      <c r="F957" s="31"/>
      <c r="I957" s="31"/>
      <c r="J957" s="31"/>
    </row>
    <row r="958" spans="3:10" ht="15.75" customHeight="1" x14ac:dyDescent="0.3">
      <c r="C958" s="31"/>
      <c r="F958" s="31"/>
      <c r="I958" s="31"/>
      <c r="J958" s="31"/>
    </row>
    <row r="959" spans="3:10" ht="15.75" customHeight="1" x14ac:dyDescent="0.3">
      <c r="C959" s="31"/>
      <c r="F959" s="31"/>
      <c r="I959" s="31"/>
      <c r="J959" s="31"/>
    </row>
    <row r="960" spans="3:10" ht="15.75" customHeight="1" x14ac:dyDescent="0.3">
      <c r="C960" s="31"/>
      <c r="F960" s="31"/>
      <c r="I960" s="31"/>
      <c r="J960" s="31"/>
    </row>
    <row r="961" spans="3:10" ht="15.75" customHeight="1" x14ac:dyDescent="0.3">
      <c r="C961" s="31"/>
      <c r="F961" s="31"/>
      <c r="I961" s="31"/>
      <c r="J961" s="31"/>
    </row>
    <row r="962" spans="3:10" ht="15.75" customHeight="1" x14ac:dyDescent="0.3">
      <c r="C962" s="31"/>
      <c r="F962" s="31"/>
      <c r="I962" s="31"/>
      <c r="J962" s="31"/>
    </row>
    <row r="963" spans="3:10" ht="15.75" customHeight="1" x14ac:dyDescent="0.3">
      <c r="C963" s="31"/>
      <c r="F963" s="31"/>
      <c r="I963" s="31"/>
      <c r="J963" s="31"/>
    </row>
    <row r="964" spans="3:10" ht="15.75" customHeight="1" x14ac:dyDescent="0.3">
      <c r="C964" s="31"/>
      <c r="F964" s="31"/>
      <c r="I964" s="31"/>
      <c r="J964" s="31"/>
    </row>
    <row r="965" spans="3:10" ht="15.75" customHeight="1" x14ac:dyDescent="0.3">
      <c r="C965" s="31"/>
      <c r="F965" s="31"/>
      <c r="I965" s="31"/>
      <c r="J965" s="31"/>
    </row>
    <row r="966" spans="3:10" ht="15.75" customHeight="1" x14ac:dyDescent="0.3">
      <c r="C966" s="31"/>
      <c r="F966" s="31"/>
      <c r="I966" s="31"/>
      <c r="J966" s="31"/>
    </row>
    <row r="967" spans="3:10" ht="15.75" customHeight="1" x14ac:dyDescent="0.3">
      <c r="C967" s="31"/>
      <c r="F967" s="31"/>
      <c r="I967" s="31"/>
      <c r="J967" s="31"/>
    </row>
    <row r="968" spans="3:10" ht="15.75" customHeight="1" x14ac:dyDescent="0.3">
      <c r="C968" s="31"/>
      <c r="F968" s="31"/>
      <c r="I968" s="31"/>
      <c r="J968" s="31"/>
    </row>
    <row r="969" spans="3:10" ht="15.75" customHeight="1" x14ac:dyDescent="0.3">
      <c r="C969" s="31"/>
      <c r="F969" s="31"/>
      <c r="I969" s="31"/>
      <c r="J969" s="31"/>
    </row>
    <row r="970" spans="3:10" ht="15.75" customHeight="1" x14ac:dyDescent="0.3">
      <c r="C970" s="31"/>
      <c r="F970" s="31"/>
      <c r="I970" s="31"/>
      <c r="J970" s="31"/>
    </row>
    <row r="971" spans="3:10" ht="15.75" customHeight="1" x14ac:dyDescent="0.3">
      <c r="C971" s="31"/>
      <c r="F971" s="31"/>
      <c r="I971" s="31"/>
      <c r="J971" s="31"/>
    </row>
    <row r="972" spans="3:10" ht="15.75" customHeight="1" x14ac:dyDescent="0.3">
      <c r="C972" s="31"/>
      <c r="F972" s="31"/>
      <c r="I972" s="31"/>
      <c r="J972" s="31"/>
    </row>
    <row r="973" spans="3:10" ht="15.75" customHeight="1" x14ac:dyDescent="0.3">
      <c r="C973" s="31"/>
      <c r="F973" s="31"/>
      <c r="I973" s="31"/>
      <c r="J973" s="31"/>
    </row>
    <row r="974" spans="3:10" ht="15.75" customHeight="1" x14ac:dyDescent="0.3">
      <c r="C974" s="31"/>
      <c r="F974" s="31"/>
      <c r="I974" s="31"/>
      <c r="J974" s="31"/>
    </row>
    <row r="975" spans="3:10" ht="15.75" customHeight="1" x14ac:dyDescent="0.3">
      <c r="C975" s="31"/>
      <c r="F975" s="31"/>
      <c r="I975" s="31"/>
      <c r="J975" s="31"/>
    </row>
    <row r="976" spans="3:10" ht="15.75" customHeight="1" x14ac:dyDescent="0.3">
      <c r="C976" s="31"/>
      <c r="F976" s="31"/>
      <c r="I976" s="31"/>
      <c r="J976" s="31"/>
    </row>
    <row r="977" spans="3:10" ht="15.75" customHeight="1" x14ac:dyDescent="0.3">
      <c r="C977" s="31"/>
      <c r="F977" s="31"/>
      <c r="I977" s="31"/>
      <c r="J977" s="31"/>
    </row>
    <row r="978" spans="3:10" ht="15.75" customHeight="1" x14ac:dyDescent="0.3">
      <c r="C978" s="31"/>
      <c r="F978" s="31"/>
      <c r="I978" s="31"/>
      <c r="J978" s="31"/>
    </row>
    <row r="979" spans="3:10" ht="15.75" customHeight="1" x14ac:dyDescent="0.3">
      <c r="C979" s="31"/>
      <c r="F979" s="31"/>
      <c r="I979" s="31"/>
      <c r="J979" s="31"/>
    </row>
    <row r="980" spans="3:10" ht="15.75" customHeight="1" x14ac:dyDescent="0.3">
      <c r="C980" s="31"/>
      <c r="F980" s="31"/>
      <c r="I980" s="31"/>
      <c r="J980" s="31"/>
    </row>
    <row r="981" spans="3:10" ht="15.75" customHeight="1" x14ac:dyDescent="0.3">
      <c r="C981" s="31"/>
      <c r="F981" s="31"/>
      <c r="I981" s="31"/>
      <c r="J981" s="31"/>
    </row>
    <row r="982" spans="3:10" ht="15.75" customHeight="1" x14ac:dyDescent="0.3">
      <c r="C982" s="31"/>
      <c r="F982" s="31"/>
      <c r="I982" s="31"/>
      <c r="J982" s="31"/>
    </row>
    <row r="983" spans="3:10" ht="15.75" customHeight="1" x14ac:dyDescent="0.3">
      <c r="C983" s="31"/>
      <c r="F983" s="31"/>
      <c r="I983" s="31"/>
      <c r="J983" s="31"/>
    </row>
    <row r="984" spans="3:10" ht="15.75" customHeight="1" x14ac:dyDescent="0.3">
      <c r="C984" s="31"/>
      <c r="F984" s="31"/>
      <c r="I984" s="31"/>
      <c r="J984" s="31"/>
    </row>
    <row r="985" spans="3:10" ht="15.75" customHeight="1" x14ac:dyDescent="0.3">
      <c r="C985" s="31"/>
      <c r="F985" s="31"/>
      <c r="I985" s="31"/>
      <c r="J985" s="31"/>
    </row>
    <row r="986" spans="3:10" ht="15.75" customHeight="1" x14ac:dyDescent="0.3">
      <c r="C986" s="31"/>
      <c r="F986" s="31"/>
      <c r="I986" s="31"/>
      <c r="J986" s="31"/>
    </row>
    <row r="987" spans="3:10" ht="15.75" customHeight="1" x14ac:dyDescent="0.3">
      <c r="C987" s="31"/>
      <c r="F987" s="31"/>
      <c r="I987" s="31"/>
      <c r="J987" s="31"/>
    </row>
    <row r="988" spans="3:10" ht="15.75" customHeight="1" x14ac:dyDescent="0.3">
      <c r="C988" s="31"/>
      <c r="F988" s="31"/>
      <c r="I988" s="31"/>
      <c r="J988" s="31"/>
    </row>
    <row r="989" spans="3:10" ht="15.75" customHeight="1" x14ac:dyDescent="0.3">
      <c r="C989" s="31"/>
      <c r="F989" s="31"/>
      <c r="I989" s="31"/>
      <c r="J989" s="31"/>
    </row>
    <row r="990" spans="3:10" ht="15.75" customHeight="1" x14ac:dyDescent="0.3">
      <c r="C990" s="31"/>
      <c r="F990" s="31"/>
      <c r="I990" s="31"/>
      <c r="J990" s="31"/>
    </row>
    <row r="991" spans="3:10" ht="15.75" customHeight="1" x14ac:dyDescent="0.3">
      <c r="C991" s="31"/>
      <c r="F991" s="31"/>
      <c r="I991" s="31"/>
      <c r="J991" s="31"/>
    </row>
    <row r="992" spans="3:10" ht="15.75" customHeight="1" x14ac:dyDescent="0.3">
      <c r="C992" s="31"/>
      <c r="F992" s="31"/>
      <c r="I992" s="31"/>
      <c r="J992" s="31"/>
    </row>
    <row r="993" spans="3:10" ht="15.75" customHeight="1" x14ac:dyDescent="0.3">
      <c r="C993" s="31"/>
      <c r="F993" s="31"/>
      <c r="I993" s="31"/>
      <c r="J993" s="31"/>
    </row>
    <row r="994" spans="3:10" ht="15.75" customHeight="1" x14ac:dyDescent="0.3">
      <c r="C994" s="31"/>
      <c r="F994" s="31"/>
      <c r="I994" s="31"/>
      <c r="J994" s="31"/>
    </row>
    <row r="995" spans="3:10" ht="15.75" customHeight="1" x14ac:dyDescent="0.3">
      <c r="C995" s="31"/>
      <c r="F995" s="31"/>
      <c r="I995" s="31"/>
      <c r="J995" s="31"/>
    </row>
    <row r="996" spans="3:10" ht="15.75" customHeight="1" x14ac:dyDescent="0.3">
      <c r="C996" s="31"/>
      <c r="F996" s="31"/>
      <c r="I996" s="31"/>
      <c r="J996" s="31"/>
    </row>
    <row r="997" spans="3:10" ht="15.75" customHeight="1" x14ac:dyDescent="0.3">
      <c r="C997" s="31"/>
      <c r="F997" s="31"/>
      <c r="I997" s="31"/>
      <c r="J997" s="31"/>
    </row>
    <row r="998" spans="3:10" ht="15.75" customHeight="1" x14ac:dyDescent="0.3">
      <c r="C998" s="31"/>
      <c r="F998" s="31"/>
      <c r="I998" s="31"/>
      <c r="J998" s="31"/>
    </row>
    <row r="999" spans="3:10" ht="15.75" customHeight="1" x14ac:dyDescent="0.3">
      <c r="C999" s="31"/>
      <c r="F999" s="31"/>
      <c r="I999" s="31"/>
      <c r="J999" s="31"/>
    </row>
    <row r="1000" spans="3:10" ht="15.75" customHeight="1" x14ac:dyDescent="0.3">
      <c r="C1000" s="31"/>
      <c r="F1000" s="31"/>
      <c r="I1000" s="31"/>
      <c r="J1000" s="31"/>
    </row>
  </sheetData>
  <mergeCells count="2">
    <mergeCell ref="B1:K1"/>
    <mergeCell ref="B2:K2"/>
  </mergeCells>
  <dataValidations count="4">
    <dataValidation type="list" allowBlank="1" sqref="F5:F1000" xr:uid="{00000000-0002-0000-0300-000000000000}">
      <formula1>"Alimentación,Transporte,Ocio,Salud,Ropa,Tecnología,Hogar,Otros"</formula1>
    </dataValidation>
    <dataValidation type="list" allowBlank="1" sqref="J5:J1000" xr:uid="{00000000-0002-0000-0300-000001000000}">
      <formula1>"Tarjeta,Efectivo,Online,Bizum,Transferencia"</formula1>
    </dataValidation>
    <dataValidation type="list" allowBlank="1" sqref="I5:I1000" xr:uid="{00000000-0002-0000-0300-000002000000}">
      <formula1>"Persona 1,Persona 2,Ambos"</formula1>
    </dataValidation>
    <dataValidation type="list" allowBlank="1" sqref="C5:C1000" xr:uid="{00000000-0002-0000-0300-000003000000}">
      <formula1>"Enero,Febrero,Marzo,Abril,Mayo,Junio,Julio,Agosto,Septiembre,Octubre,Noviembre,Diciembre"</formula1>
    </dataValidation>
  </dataValidation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9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6" customWidth="1"/>
    <col min="3" max="3" width="24" customWidth="1"/>
    <col min="4" max="4" width="12" customWidth="1"/>
  </cols>
  <sheetData>
    <row r="1" spans="2:4" ht="31.95" customHeight="1" x14ac:dyDescent="0.3">
      <c r="B1" s="138" t="s">
        <v>122</v>
      </c>
      <c r="C1" s="115"/>
      <c r="D1" s="115"/>
    </row>
    <row r="2" spans="2:4" x14ac:dyDescent="0.3">
      <c r="B2" s="140" t="s">
        <v>123</v>
      </c>
      <c r="C2" s="115"/>
      <c r="D2" s="115"/>
    </row>
    <row r="3" spans="2:4" ht="7.95" customHeight="1" x14ac:dyDescent="0.3"/>
    <row r="4" spans="2:4" ht="22.05" customHeight="1" x14ac:dyDescent="0.3">
      <c r="B4" s="105" t="s">
        <v>39</v>
      </c>
      <c r="C4" s="105" t="s">
        <v>124</v>
      </c>
      <c r="D4" s="105" t="s">
        <v>55</v>
      </c>
    </row>
    <row r="5" spans="2:4" ht="19.95" customHeight="1" x14ac:dyDescent="0.3">
      <c r="B5" s="106">
        <v>1</v>
      </c>
      <c r="C5" s="107" t="s">
        <v>45</v>
      </c>
      <c r="D5" s="106" t="s">
        <v>59</v>
      </c>
    </row>
    <row r="6" spans="2:4" ht="19.95" customHeight="1" x14ac:dyDescent="0.3">
      <c r="B6" s="106">
        <v>2</v>
      </c>
      <c r="C6" s="107" t="s">
        <v>46</v>
      </c>
      <c r="D6" s="106" t="s">
        <v>59</v>
      </c>
    </row>
    <row r="8" spans="2:4" x14ac:dyDescent="0.3">
      <c r="B8" s="139" t="s">
        <v>125</v>
      </c>
      <c r="C8" s="115"/>
      <c r="D8" s="115"/>
    </row>
    <row r="9" spans="2:4" x14ac:dyDescent="0.3">
      <c r="B9" s="108"/>
    </row>
  </sheetData>
  <mergeCells count="3">
    <mergeCell ref="B1:D1"/>
    <mergeCell ref="B8:D8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6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6" customWidth="1"/>
    <col min="3" max="3" width="24" customWidth="1"/>
    <col min="4" max="4" width="22" customWidth="1"/>
    <col min="5" max="5" width="10" customWidth="1"/>
  </cols>
  <sheetData>
    <row r="1" spans="2:5" ht="31.95" customHeight="1" x14ac:dyDescent="0.3">
      <c r="B1" s="138" t="s">
        <v>126</v>
      </c>
      <c r="C1" s="115"/>
      <c r="D1" s="115"/>
      <c r="E1" s="115"/>
    </row>
    <row r="2" spans="2:5" x14ac:dyDescent="0.3">
      <c r="B2" s="140" t="s">
        <v>127</v>
      </c>
      <c r="C2" s="115"/>
      <c r="D2" s="115"/>
      <c r="E2" s="115"/>
    </row>
    <row r="3" spans="2:5" ht="7.95" customHeight="1" x14ac:dyDescent="0.3"/>
    <row r="4" spans="2:5" ht="22.05" customHeight="1" x14ac:dyDescent="0.3">
      <c r="B4" s="105" t="s">
        <v>39</v>
      </c>
      <c r="C4" s="105" t="s">
        <v>124</v>
      </c>
      <c r="D4" s="105" t="s">
        <v>128</v>
      </c>
      <c r="E4" s="105" t="s">
        <v>55</v>
      </c>
    </row>
    <row r="5" spans="2:5" ht="19.95" customHeight="1" x14ac:dyDescent="0.3">
      <c r="B5" s="106">
        <v>1</v>
      </c>
      <c r="C5" s="107" t="s">
        <v>97</v>
      </c>
      <c r="D5" s="109" t="s">
        <v>129</v>
      </c>
      <c r="E5" s="106" t="s">
        <v>59</v>
      </c>
    </row>
    <row r="6" spans="2:5" ht="19.95" customHeight="1" x14ac:dyDescent="0.3">
      <c r="B6" s="106">
        <v>2</v>
      </c>
      <c r="C6" s="107" t="s">
        <v>79</v>
      </c>
      <c r="D6" s="109" t="s">
        <v>130</v>
      </c>
      <c r="E6" s="106" t="s">
        <v>59</v>
      </c>
    </row>
    <row r="7" spans="2:5" ht="19.95" customHeight="1" x14ac:dyDescent="0.3">
      <c r="B7" s="106">
        <v>3</v>
      </c>
      <c r="C7" s="107" t="s">
        <v>71</v>
      </c>
      <c r="D7" s="109" t="s">
        <v>131</v>
      </c>
      <c r="E7" s="106" t="s">
        <v>59</v>
      </c>
    </row>
    <row r="8" spans="2:5" ht="19.95" customHeight="1" x14ac:dyDescent="0.3">
      <c r="B8" s="106">
        <v>4</v>
      </c>
      <c r="C8" s="107" t="s">
        <v>75</v>
      </c>
      <c r="D8" s="109" t="s">
        <v>132</v>
      </c>
      <c r="E8" s="106" t="s">
        <v>59</v>
      </c>
    </row>
    <row r="9" spans="2:5" ht="19.95" customHeight="1" x14ac:dyDescent="0.3">
      <c r="B9" s="106">
        <v>5</v>
      </c>
      <c r="C9" s="107" t="s">
        <v>114</v>
      </c>
      <c r="D9" s="109" t="s">
        <v>133</v>
      </c>
      <c r="E9" s="106" t="s">
        <v>59</v>
      </c>
    </row>
    <row r="10" spans="2:5" ht="19.95" customHeight="1" x14ac:dyDescent="0.3">
      <c r="B10" s="106">
        <v>6</v>
      </c>
      <c r="C10" s="107" t="s">
        <v>88</v>
      </c>
      <c r="D10" s="109" t="s">
        <v>134</v>
      </c>
      <c r="E10" s="106" t="s">
        <v>59</v>
      </c>
    </row>
    <row r="11" spans="2:5" ht="19.95" customHeight="1" x14ac:dyDescent="0.3">
      <c r="B11" s="106">
        <v>7</v>
      </c>
      <c r="C11" s="107" t="s">
        <v>57</v>
      </c>
      <c r="D11" s="109" t="s">
        <v>135</v>
      </c>
      <c r="E11" s="106" t="s">
        <v>59</v>
      </c>
    </row>
    <row r="12" spans="2:5" ht="19.95" customHeight="1" x14ac:dyDescent="0.3">
      <c r="B12" s="106">
        <v>8</v>
      </c>
      <c r="C12" s="107" t="s">
        <v>61</v>
      </c>
      <c r="D12" s="109" t="s">
        <v>136</v>
      </c>
      <c r="E12" s="106" t="s">
        <v>59</v>
      </c>
    </row>
    <row r="13" spans="2:5" ht="19.95" customHeight="1" x14ac:dyDescent="0.3">
      <c r="B13" s="106">
        <v>9</v>
      </c>
      <c r="C13" s="107" t="s">
        <v>137</v>
      </c>
      <c r="D13" s="109" t="s">
        <v>138</v>
      </c>
      <c r="E13" s="106" t="s">
        <v>59</v>
      </c>
    </row>
    <row r="15" spans="2:5" x14ac:dyDescent="0.3">
      <c r="B15" s="139" t="s">
        <v>139</v>
      </c>
      <c r="C15" s="115"/>
      <c r="D15" s="115"/>
      <c r="E15" s="115"/>
    </row>
    <row r="16" spans="2:5" x14ac:dyDescent="0.3">
      <c r="B16" s="139" t="s">
        <v>140</v>
      </c>
      <c r="C16" s="115"/>
      <c r="D16" s="115"/>
      <c r="E16" s="115"/>
    </row>
  </sheetData>
  <mergeCells count="4">
    <mergeCell ref="B15:E15"/>
    <mergeCell ref="B1:E1"/>
    <mergeCell ref="B2:E2"/>
    <mergeCell ref="B16:E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1000"/>
  <sheetViews>
    <sheetView showGridLines="0" workbookViewId="0"/>
  </sheetViews>
  <sheetFormatPr baseColWidth="10" defaultColWidth="14.44140625" defaultRowHeight="15" customHeight="1" x14ac:dyDescent="0.3"/>
  <cols>
    <col min="1" max="1" width="2" customWidth="1"/>
    <col min="2" max="2" width="16" customWidth="1"/>
    <col min="3" max="15" width="11" customWidth="1"/>
    <col min="16" max="26" width="8.6640625" customWidth="1"/>
  </cols>
  <sheetData>
    <row r="1" spans="2:16" ht="36" customHeight="1" x14ac:dyDescent="0.3">
      <c r="B1" s="141" t="s">
        <v>141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</row>
    <row r="2" spans="2:16" ht="15" customHeight="1" x14ac:dyDescent="0.3">
      <c r="B2" s="142" t="s">
        <v>142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</row>
    <row r="4" spans="2:16" ht="15.6" x14ac:dyDescent="0.3">
      <c r="B4" s="81" t="s">
        <v>143</v>
      </c>
      <c r="C4" s="82">
        <v>2025</v>
      </c>
      <c r="D4" s="2" t="s">
        <v>144</v>
      </c>
    </row>
    <row r="6" spans="2:16" ht="24" customHeight="1" x14ac:dyDescent="0.3">
      <c r="B6" s="83" t="s">
        <v>42</v>
      </c>
      <c r="C6" s="83" t="s">
        <v>5</v>
      </c>
      <c r="D6" s="83" t="s">
        <v>47</v>
      </c>
      <c r="E6" s="83" t="s">
        <v>145</v>
      </c>
      <c r="F6" s="83" t="s">
        <v>146</v>
      </c>
      <c r="G6" s="83" t="s">
        <v>147</v>
      </c>
      <c r="H6" s="83" t="s">
        <v>148</v>
      </c>
      <c r="I6" s="83" t="s">
        <v>149</v>
      </c>
      <c r="J6" s="83" t="s">
        <v>150</v>
      </c>
      <c r="K6" s="83" t="s">
        <v>151</v>
      </c>
      <c r="L6" s="83" t="s">
        <v>152</v>
      </c>
      <c r="M6" s="83" t="s">
        <v>153</v>
      </c>
      <c r="N6" s="83" t="s">
        <v>154</v>
      </c>
      <c r="O6" s="83" t="s">
        <v>155</v>
      </c>
    </row>
    <row r="7" spans="2:16" ht="24" x14ac:dyDescent="0.3">
      <c r="B7" s="84" t="s">
        <v>156</v>
      </c>
      <c r="C7" s="85">
        <f>SUMPRODUCT(('💰 INGRESOS'!C$5:C$500="Enero")*('💰 INGRESOS'!D$5:D$500=C$4)*('💰 INGRESOS'!E$5:E$500="Persona 1")*('💰 INGRESOS'!G$5:G$500))</f>
        <v>0</v>
      </c>
      <c r="D7" s="85">
        <f>SUMPRODUCT(('💰 INGRESOS'!C$5:C$500="Febrero")*('💰 INGRESOS'!D$5:D$500=C$4)*('💰 INGRESOS'!E$5:E$500="Persona 1")*('💰 INGRESOS'!G$5:G$500))</f>
        <v>0</v>
      </c>
      <c r="E7" s="85">
        <f>SUMPRODUCT(('💰 INGRESOS'!C$5:C$500="Marzo")*('💰 INGRESOS'!D$5:D$500=C$4)*('💰 INGRESOS'!E$5:E$500="Persona 1")*('💰 INGRESOS'!G$5:G$500))</f>
        <v>0</v>
      </c>
      <c r="F7" s="85">
        <f>SUMPRODUCT(('💰 INGRESOS'!C$5:C$500="Abril")*('💰 INGRESOS'!D$5:D$500=C$4)*('💰 INGRESOS'!E$5:E$500="Persona 1")*('💰 INGRESOS'!G$5:G$500))</f>
        <v>0</v>
      </c>
      <c r="G7" s="85">
        <f>SUMPRODUCT(('💰 INGRESOS'!C$5:C$500="Mayo")*('💰 INGRESOS'!D$5:D$500=C$4)*('💰 INGRESOS'!E$5:E$500="Persona 1")*('💰 INGRESOS'!G$5:G$500))</f>
        <v>0</v>
      </c>
      <c r="H7" s="85">
        <f>SUMPRODUCT(('💰 INGRESOS'!C$5:C$500="Junio")*('💰 INGRESOS'!D$5:D$500=C$4)*('💰 INGRESOS'!E$5:E$500="Persona 1")*('💰 INGRESOS'!G$5:G$500))</f>
        <v>0</v>
      </c>
      <c r="I7" s="85">
        <f>SUMPRODUCT(('💰 INGRESOS'!C$5:C$500="Julio")*('💰 INGRESOS'!D$5:D$500=C$4)*('💰 INGRESOS'!E$5:E$500="Persona 1")*('💰 INGRESOS'!G$5:G$500))</f>
        <v>0</v>
      </c>
      <c r="J7" s="85">
        <f>SUMPRODUCT(('💰 INGRESOS'!C$5:C$500="Agosto")*('💰 INGRESOS'!D$5:D$500=C$4)*('💰 INGRESOS'!E$5:E$500="Persona 1")*('💰 INGRESOS'!G$5:G$500))</f>
        <v>0</v>
      </c>
      <c r="K7" s="85">
        <f>SUMPRODUCT(('💰 INGRESOS'!C$5:C$500="Septiembre")*('💰 INGRESOS'!D$5:D$500=C$4)*('💰 INGRESOS'!E$5:E$500="Persona 1")*('💰 INGRESOS'!G$5:G$500))</f>
        <v>0</v>
      </c>
      <c r="L7" s="85">
        <f>SUMPRODUCT(('💰 INGRESOS'!C$5:C$500="Octubre")*('💰 INGRESOS'!D$5:D$500=C$4)*('💰 INGRESOS'!E$5:E$500="Persona 1")*('💰 INGRESOS'!G$5:G$500))</f>
        <v>0</v>
      </c>
      <c r="M7" s="85">
        <f>SUMPRODUCT(('💰 INGRESOS'!C$5:C$500="Noviembre")*('💰 INGRESOS'!D$5:D$500=C$4)*('💰 INGRESOS'!E$5:E$500="Persona 1")*('💰 INGRESOS'!G$5:G$500))</f>
        <v>0</v>
      </c>
      <c r="N7" s="85">
        <f>SUMPRODUCT(('💰 INGRESOS'!C$5:C$500="Diciembre")*('💰 INGRESOS'!D$5:D$500=C$4)*('💰 INGRESOS'!E$5:E$500="Persona 1")*('💰 INGRESOS'!G$5:G$500))</f>
        <v>0</v>
      </c>
      <c r="O7" s="86">
        <f>SUM(C7:N7)</f>
        <v>0</v>
      </c>
    </row>
    <row r="8" spans="2:16" ht="24" x14ac:dyDescent="0.3">
      <c r="B8" s="84" t="s">
        <v>157</v>
      </c>
      <c r="C8" s="85">
        <f>SUMPRODUCT(('💰 INGRESOS'!C$5:C$500="Enero")*('💰 INGRESOS'!D$5:D$500=C$4)*('💰 INGRESOS'!E$5:E$500="Persona 2")*('💰 INGRESOS'!G$5:G$500))</f>
        <v>0</v>
      </c>
      <c r="D8" s="85">
        <f>SUMPRODUCT(('💰 INGRESOS'!C$5:C$500="Febrero")*('💰 INGRESOS'!D$5:D$500=C$4)*('💰 INGRESOS'!E$5:E$500="Persona 2")*('💰 INGRESOS'!G$5:G$500))</f>
        <v>0</v>
      </c>
      <c r="E8" s="85">
        <f>SUMPRODUCT(('💰 INGRESOS'!C$5:C$500="Marzo")*('💰 INGRESOS'!D$5:D$500=C$4)*('💰 INGRESOS'!E$5:E$500="Persona 2")*('💰 INGRESOS'!G$5:G$500))</f>
        <v>0</v>
      </c>
      <c r="F8" s="85">
        <f>SUMPRODUCT(('💰 INGRESOS'!C$5:C$500="Abril")*('💰 INGRESOS'!D$5:D$500=C$4)*('💰 INGRESOS'!E$5:E$500="Persona 2")*('💰 INGRESOS'!G$5:G$500))</f>
        <v>0</v>
      </c>
      <c r="G8" s="85">
        <f>SUMPRODUCT(('💰 INGRESOS'!C$5:C$500="Mayo")*('💰 INGRESOS'!D$5:D$500=C$4)*('💰 INGRESOS'!E$5:E$500="Persona 2")*('💰 INGRESOS'!G$5:G$500))</f>
        <v>0</v>
      </c>
      <c r="H8" s="85">
        <f>SUMPRODUCT(('💰 INGRESOS'!C$5:C$500="Junio")*('💰 INGRESOS'!D$5:D$500=C$4)*('💰 INGRESOS'!E$5:E$500="Persona 2")*('💰 INGRESOS'!G$5:G$500))</f>
        <v>0</v>
      </c>
      <c r="I8" s="85">
        <f>SUMPRODUCT(('💰 INGRESOS'!C$5:C$500="Julio")*('💰 INGRESOS'!D$5:D$500=C$4)*('💰 INGRESOS'!E$5:E$500="Persona 2")*('💰 INGRESOS'!G$5:G$500))</f>
        <v>0</v>
      </c>
      <c r="J8" s="85">
        <f>SUMPRODUCT(('💰 INGRESOS'!C$5:C$500="Agosto")*('💰 INGRESOS'!D$5:D$500=C$4)*('💰 INGRESOS'!E$5:E$500="Persona 2")*('💰 INGRESOS'!G$5:G$500))</f>
        <v>0</v>
      </c>
      <c r="K8" s="85">
        <f>SUMPRODUCT(('💰 INGRESOS'!C$5:C$500="Septiembre")*('💰 INGRESOS'!D$5:D$500=C$4)*('💰 INGRESOS'!E$5:E$500="Persona 2")*('💰 INGRESOS'!G$5:G$500))</f>
        <v>0</v>
      </c>
      <c r="L8" s="85">
        <f>SUMPRODUCT(('💰 INGRESOS'!C$5:C$500="Octubre")*('💰 INGRESOS'!D$5:D$500=C$4)*('💰 INGRESOS'!E$5:E$500="Persona 2")*('💰 INGRESOS'!G$5:G$500))</f>
        <v>0</v>
      </c>
      <c r="M8" s="85">
        <f>SUMPRODUCT(('💰 INGRESOS'!C$5:C$500="Noviembre")*('💰 INGRESOS'!D$5:D$500=C$4)*('💰 INGRESOS'!E$5:E$500="Persona 2")*('💰 INGRESOS'!G$5:G$500))</f>
        <v>0</v>
      </c>
      <c r="N8" s="85">
        <f>SUMPRODUCT(('💰 INGRESOS'!C$5:C$500="Diciembre")*('💰 INGRESOS'!D$5:D$500=C$4)*('💰 INGRESOS'!E$5:E$500="Persona 2")*('💰 INGRESOS'!G$5:G$500))</f>
        <v>0</v>
      </c>
      <c r="O8" s="86">
        <f>SUM(C8:N8)</f>
        <v>0</v>
      </c>
    </row>
    <row r="9" spans="2:16" ht="24" x14ac:dyDescent="0.3">
      <c r="B9" s="87" t="s">
        <v>158</v>
      </c>
      <c r="C9" s="88">
        <f>SUMPRODUCT(('💰 INGRESOS'!C$5:C$500="Enero")*('💰 INGRESOS'!D$5:D$500=C$4)*('💰 INGRESOS'!G$5:G$500))</f>
        <v>0</v>
      </c>
      <c r="D9" s="88">
        <f>SUMPRODUCT(('💰 INGRESOS'!C$5:C$500="Febrero")*('💰 INGRESOS'!D$5:D$500=C$4)*('💰 INGRESOS'!G$5:G$500))</f>
        <v>0</v>
      </c>
      <c r="E9" s="88">
        <f>SUMPRODUCT(('💰 INGRESOS'!C$5:C$500="Marzo")*('💰 INGRESOS'!D$5:D$500=C$4)*('💰 INGRESOS'!G$5:G$500))</f>
        <v>0</v>
      </c>
      <c r="F9" s="88">
        <f>SUMPRODUCT(('💰 INGRESOS'!C$5:C$500="Abril")*('💰 INGRESOS'!D$5:D$500=C$4)*('💰 INGRESOS'!G$5:G$500))</f>
        <v>0</v>
      </c>
      <c r="G9" s="88">
        <f>SUMPRODUCT(('💰 INGRESOS'!C$5:C$500="Mayo")*('💰 INGRESOS'!D$5:D$500=C$4)*('💰 INGRESOS'!G$5:G$500))</f>
        <v>0</v>
      </c>
      <c r="H9" s="88">
        <f>SUMPRODUCT(('💰 INGRESOS'!C$5:C$500="Junio")*('💰 INGRESOS'!D$5:D$500=C$4)*('💰 INGRESOS'!G$5:G$500))</f>
        <v>0</v>
      </c>
      <c r="I9" s="88">
        <f>SUMPRODUCT(('💰 INGRESOS'!C$5:C$500="Julio")*('💰 INGRESOS'!D$5:D$500=C$4)*('💰 INGRESOS'!G$5:G$500))</f>
        <v>0</v>
      </c>
      <c r="J9" s="88">
        <f>SUMPRODUCT(('💰 INGRESOS'!C$5:C$500="Agosto")*('💰 INGRESOS'!D$5:D$500=C$4)*('💰 INGRESOS'!G$5:G$500))</f>
        <v>0</v>
      </c>
      <c r="K9" s="88">
        <f>SUMPRODUCT(('💰 INGRESOS'!C$5:C$500="Septiembre")*('💰 INGRESOS'!D$5:D$500=C$4)*('💰 INGRESOS'!G$5:G$500))</f>
        <v>0</v>
      </c>
      <c r="L9" s="88">
        <f>SUMPRODUCT(('💰 INGRESOS'!C$5:C$500="Octubre")*('💰 INGRESOS'!D$5:D$500=C$4)*('💰 INGRESOS'!G$5:G$500))</f>
        <v>0</v>
      </c>
      <c r="M9" s="88">
        <f>SUMPRODUCT(('💰 INGRESOS'!C$5:C$500="Noviembre")*('💰 INGRESOS'!D$5:D$500=C$4)*('💰 INGRESOS'!G$5:G$500))</f>
        <v>0</v>
      </c>
      <c r="N9" s="88">
        <f>SUMPRODUCT(('💰 INGRESOS'!C$5:C$500="Diciembre")*('💰 INGRESOS'!D$5:D$500=C$4)*('💰 INGRESOS'!G$5:G$500))</f>
        <v>0</v>
      </c>
      <c r="O9" s="89">
        <f>SUM(C9:N9)</f>
        <v>0</v>
      </c>
    </row>
    <row r="11" spans="2:16" ht="24" x14ac:dyDescent="0.3">
      <c r="B11" s="90" t="s">
        <v>159</v>
      </c>
      <c r="C11" s="91">
        <f>SUMIF('📅 RECURRENTES'!H$5:H$500,"✅",'📅 RECURRENTES'!E$5:E$500)</f>
        <v>1417</v>
      </c>
      <c r="D11" s="91">
        <f>SUMIF('📅 RECURRENTES'!H$5:H$500,"✅",'📅 RECURRENTES'!E$5:E$500)</f>
        <v>1417</v>
      </c>
      <c r="E11" s="91">
        <f>SUMIF('📅 RECURRENTES'!H$5:H$500,"✅",'📅 RECURRENTES'!E$5:E$500)</f>
        <v>1417</v>
      </c>
      <c r="F11" s="91">
        <f>SUMIF('📅 RECURRENTES'!H$5:H$500,"✅",'📅 RECURRENTES'!E$5:E$500)</f>
        <v>1417</v>
      </c>
      <c r="G11" s="91">
        <f>SUMIF('📅 RECURRENTES'!H$5:H$500,"✅",'📅 RECURRENTES'!E$5:E$500)</f>
        <v>1417</v>
      </c>
      <c r="H11" s="91">
        <f>SUMIF('📅 RECURRENTES'!H$5:H$500,"✅",'📅 RECURRENTES'!E$5:E$500)</f>
        <v>1417</v>
      </c>
      <c r="I11" s="91">
        <f>SUMIF('📅 RECURRENTES'!H$5:H$500,"✅",'📅 RECURRENTES'!E$5:E$500)</f>
        <v>1417</v>
      </c>
      <c r="J11" s="91">
        <f>SUMIF('📅 RECURRENTES'!H$5:H$500,"✅",'📅 RECURRENTES'!E$5:E$500)</f>
        <v>1417</v>
      </c>
      <c r="K11" s="91">
        <f>SUMIF('📅 RECURRENTES'!H$5:H$500,"✅",'📅 RECURRENTES'!E$5:E$500)</f>
        <v>1417</v>
      </c>
      <c r="L11" s="91">
        <f>SUMIF('📅 RECURRENTES'!H$5:H$500,"✅",'📅 RECURRENTES'!E$5:E$500)</f>
        <v>1417</v>
      </c>
      <c r="M11" s="91">
        <f>SUMIF('📅 RECURRENTES'!H$5:H$500,"✅",'📅 RECURRENTES'!E$5:E$500)</f>
        <v>1417</v>
      </c>
      <c r="N11" s="91">
        <f>SUMIF('📅 RECURRENTES'!H$5:H$500,"✅",'📅 RECURRENTES'!E$5:E$500)</f>
        <v>1417</v>
      </c>
      <c r="O11" s="92">
        <f>SUM(C11:N11)</f>
        <v>17004</v>
      </c>
    </row>
    <row r="12" spans="2:16" ht="14.4" x14ac:dyDescent="0.3">
      <c r="B12" s="93" t="s">
        <v>160</v>
      </c>
      <c r="C12" s="94">
        <f>SUMPRODUCT(('🛒 DIARIOS'!C$5:C$500="Enero")*('🛒 DIARIOS'!D$5:D$500=C$4)*('🛒 DIARIOS'!H$5:H$500))</f>
        <v>404.1</v>
      </c>
      <c r="D12" s="94">
        <f>SUMPRODUCT(('🛒 DIARIOS'!C$5:C$500="Febrero")*('🛒 DIARIOS'!D$5:D$500=C$4)*('🛒 DIARIOS'!H$5:H$500))</f>
        <v>91.2</v>
      </c>
      <c r="E12" s="94">
        <f>SUMPRODUCT(('🛒 DIARIOS'!C$5:C$500="Marzo")*('🛒 DIARIOS'!D$5:D$500=C$4)*('🛒 DIARIOS'!H$5:H$500))</f>
        <v>0</v>
      </c>
      <c r="F12" s="94">
        <f>SUMPRODUCT(('🛒 DIARIOS'!C$5:C$500="Abril")*('🛒 DIARIOS'!D$5:D$500=C$4)*('🛒 DIARIOS'!H$5:H$500))</f>
        <v>0</v>
      </c>
      <c r="G12" s="94">
        <f>SUMPRODUCT(('🛒 DIARIOS'!C$5:C$500="Mayo")*('🛒 DIARIOS'!D$5:D$500=C$4)*('🛒 DIARIOS'!H$5:H$500))</f>
        <v>0</v>
      </c>
      <c r="H12" s="94">
        <f>SUMPRODUCT(('🛒 DIARIOS'!C$5:C$500="Junio")*('🛒 DIARIOS'!D$5:D$500=C$4)*('🛒 DIARIOS'!H$5:H$500))</f>
        <v>0</v>
      </c>
      <c r="I12" s="94">
        <f>SUMPRODUCT(('🛒 DIARIOS'!C$5:C$500="Julio")*('🛒 DIARIOS'!D$5:D$500=C$4)*('🛒 DIARIOS'!H$5:H$500))</f>
        <v>0</v>
      </c>
      <c r="J12" s="94">
        <f>SUMPRODUCT(('🛒 DIARIOS'!C$5:C$500="Agosto")*('🛒 DIARIOS'!D$5:D$500=C$4)*('🛒 DIARIOS'!H$5:H$500))</f>
        <v>0</v>
      </c>
      <c r="K12" s="94">
        <f>SUMPRODUCT(('🛒 DIARIOS'!C$5:C$500="Septiembre")*('🛒 DIARIOS'!D$5:D$500=C$4)*('🛒 DIARIOS'!H$5:H$500))</f>
        <v>0</v>
      </c>
      <c r="L12" s="94">
        <f>SUMPRODUCT(('🛒 DIARIOS'!C$5:C$500="Octubre")*('🛒 DIARIOS'!D$5:D$500=C$4)*('🛒 DIARIOS'!H$5:H$500))</f>
        <v>0</v>
      </c>
      <c r="M12" s="94">
        <f>SUMPRODUCT(('🛒 DIARIOS'!C$5:C$500="Noviembre")*('🛒 DIARIOS'!D$5:D$500=C$4)*('🛒 DIARIOS'!H$5:H$500))</f>
        <v>0</v>
      </c>
      <c r="N12" s="94">
        <f>SUMPRODUCT(('🛒 DIARIOS'!C$5:C$500="Diciembre")*('🛒 DIARIOS'!D$5:D$500=C$4)*('🛒 DIARIOS'!H$5:H$500))</f>
        <v>0</v>
      </c>
      <c r="O12" s="95">
        <f>SUM(C12:N12)</f>
        <v>495.3</v>
      </c>
    </row>
    <row r="13" spans="2:16" ht="24" x14ac:dyDescent="0.3">
      <c r="B13" s="96" t="s">
        <v>161</v>
      </c>
      <c r="C13" s="97">
        <f t="shared" ref="C13:N13" si="0">C11+C12</f>
        <v>1821.1</v>
      </c>
      <c r="D13" s="97">
        <f t="shared" si="0"/>
        <v>1508.2</v>
      </c>
      <c r="E13" s="97">
        <f t="shared" si="0"/>
        <v>1417</v>
      </c>
      <c r="F13" s="97">
        <f t="shared" si="0"/>
        <v>1417</v>
      </c>
      <c r="G13" s="97">
        <f t="shared" si="0"/>
        <v>1417</v>
      </c>
      <c r="H13" s="97">
        <f t="shared" si="0"/>
        <v>1417</v>
      </c>
      <c r="I13" s="97">
        <f t="shared" si="0"/>
        <v>1417</v>
      </c>
      <c r="J13" s="97">
        <f t="shared" si="0"/>
        <v>1417</v>
      </c>
      <c r="K13" s="97">
        <f t="shared" si="0"/>
        <v>1417</v>
      </c>
      <c r="L13" s="97">
        <f t="shared" si="0"/>
        <v>1417</v>
      </c>
      <c r="M13" s="97">
        <f t="shared" si="0"/>
        <v>1417</v>
      </c>
      <c r="N13" s="97">
        <f t="shared" si="0"/>
        <v>1417</v>
      </c>
      <c r="O13" s="98">
        <f>SUM(C13:N13)</f>
        <v>17499.3</v>
      </c>
    </row>
    <row r="15" spans="2:16" ht="24" x14ac:dyDescent="0.3">
      <c r="B15" s="99" t="s">
        <v>162</v>
      </c>
      <c r="C15" s="100">
        <f t="shared" ref="C15:N15" si="1">C9-C13</f>
        <v>-1821.1</v>
      </c>
      <c r="D15" s="100">
        <f t="shared" si="1"/>
        <v>-1508.2</v>
      </c>
      <c r="E15" s="100">
        <f t="shared" si="1"/>
        <v>-1417</v>
      </c>
      <c r="F15" s="100">
        <f t="shared" si="1"/>
        <v>-1417</v>
      </c>
      <c r="G15" s="100">
        <f t="shared" si="1"/>
        <v>-1417</v>
      </c>
      <c r="H15" s="100">
        <f t="shared" si="1"/>
        <v>-1417</v>
      </c>
      <c r="I15" s="100">
        <f t="shared" si="1"/>
        <v>-1417</v>
      </c>
      <c r="J15" s="100">
        <f t="shared" si="1"/>
        <v>-1417</v>
      </c>
      <c r="K15" s="100">
        <f t="shared" si="1"/>
        <v>-1417</v>
      </c>
      <c r="L15" s="100">
        <f t="shared" si="1"/>
        <v>-1417</v>
      </c>
      <c r="M15" s="100">
        <f t="shared" si="1"/>
        <v>-1417</v>
      </c>
      <c r="N15" s="100">
        <f t="shared" si="1"/>
        <v>-1417</v>
      </c>
      <c r="O15" s="101">
        <f>SUM(C15:N15)</f>
        <v>-17499.3</v>
      </c>
    </row>
    <row r="16" spans="2:16" ht="24" x14ac:dyDescent="0.3">
      <c r="B16" s="102" t="s">
        <v>163</v>
      </c>
      <c r="C16" s="103">
        <f t="shared" ref="C16:O16" si="2">IFERROR((C9-C13)/C9,0)</f>
        <v>0</v>
      </c>
      <c r="D16" s="103">
        <f t="shared" si="2"/>
        <v>0</v>
      </c>
      <c r="E16" s="103">
        <f t="shared" si="2"/>
        <v>0</v>
      </c>
      <c r="F16" s="103">
        <f t="shared" si="2"/>
        <v>0</v>
      </c>
      <c r="G16" s="103">
        <f t="shared" si="2"/>
        <v>0</v>
      </c>
      <c r="H16" s="103">
        <f t="shared" si="2"/>
        <v>0</v>
      </c>
      <c r="I16" s="103">
        <f t="shared" si="2"/>
        <v>0</v>
      </c>
      <c r="J16" s="103">
        <f t="shared" si="2"/>
        <v>0</v>
      </c>
      <c r="K16" s="103">
        <f t="shared" si="2"/>
        <v>0</v>
      </c>
      <c r="L16" s="103">
        <f t="shared" si="2"/>
        <v>0</v>
      </c>
      <c r="M16" s="103">
        <f t="shared" si="2"/>
        <v>0</v>
      </c>
      <c r="N16" s="103">
        <f t="shared" si="2"/>
        <v>0</v>
      </c>
      <c r="O16" s="104">
        <f t="shared" si="2"/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1:P1"/>
    <mergeCell ref="B2:P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📊 RESUMEN</vt:lpstr>
      <vt:lpstr>💰 INGRESOS</vt:lpstr>
      <vt:lpstr>📅 RECURRENTES</vt:lpstr>
      <vt:lpstr>🛒 DIARIOS</vt:lpstr>
      <vt:lpstr>👥 USUARIOS</vt:lpstr>
      <vt:lpstr>🏷️ CATEGORIAS</vt:lpstr>
      <vt:lpstr>📆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IBAN PEREZ</cp:lastModifiedBy>
  <dcterms:created xsi:type="dcterms:W3CDTF">2026-03-11T17:03:36Z</dcterms:created>
  <dcterms:modified xsi:type="dcterms:W3CDTF">2026-03-11T17:49:50Z</dcterms:modified>
</cp:coreProperties>
</file>